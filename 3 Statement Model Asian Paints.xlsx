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dhru\OneDrive\Desktop\Dhruv Jain Portfolio\Financial Modelling Projects\3 Statement Financial Model Asian Paints\"/>
    </mc:Choice>
  </mc:AlternateContent>
  <xr:revisionPtr revIDLastSave="0" documentId="13_ncr:1_{F8146A22-7822-4759-B745-F3B092169FF5}" xr6:coauthVersionLast="47" xr6:coauthVersionMax="47" xr10:uidLastSave="{00000000-0000-0000-0000-000000000000}"/>
  <bookViews>
    <workbookView xWindow="-98" yWindow="-98" windowWidth="21795" windowHeight="12975" firstSheet="5" activeTab="7" xr2:uid="{00000000-000D-0000-FFFF-FFFF00000000}"/>
  </bookViews>
  <sheets>
    <sheet name="Profit &amp; Loss (Input)" sheetId="1" r:id="rId1"/>
    <sheet name="Quarters (Input)" sheetId="3" r:id="rId2"/>
    <sheet name="Balance Sheet (Input)" sheetId="2" r:id="rId3"/>
    <sheet name="Cash Flow (Input)" sheetId="4" r:id="rId4"/>
    <sheet name="Data Sheet (Input)" sheetId="6" r:id="rId5"/>
    <sheet name="Cash Flow data (input)" sheetId="8" r:id="rId6"/>
    <sheet name="3 Statement Model" sheetId="7" r:id="rId7"/>
    <sheet name="Ratio Analysis" sheetId="9" r:id="rId8"/>
    <sheet name="Forecasting" sheetId="10" r:id="rId9"/>
    <sheet name="Insight Summary" sheetId="11" r:id="rId10"/>
  </sheets>
  <definedNames>
    <definedName name="UPDATE">'Data Sheet (Input)'!$E$1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5" i="9" l="1"/>
  <c r="R17" i="10"/>
  <c r="R16" i="10"/>
  <c r="R18" i="10"/>
  <c r="R19" i="10"/>
  <c r="R15" i="10"/>
  <c r="L19" i="10"/>
  <c r="L17" i="10"/>
  <c r="L16" i="10"/>
  <c r="L18" i="10"/>
  <c r="L15" i="10"/>
  <c r="Q7" i="10"/>
  <c r="Q8" i="10"/>
  <c r="Q9" i="10"/>
  <c r="Q10" i="10"/>
  <c r="Q11" i="10"/>
  <c r="Q12" i="10"/>
  <c r="Q13" i="10"/>
  <c r="Q14" i="10"/>
  <c r="Q18" i="10"/>
  <c r="Q19" i="10"/>
  <c r="Q6" i="10"/>
  <c r="P15" i="10"/>
  <c r="Q15" i="10" s="1"/>
  <c r="P16" i="10"/>
  <c r="Q16" i="10" s="1"/>
  <c r="P17" i="10"/>
  <c r="P18" i="10"/>
  <c r="P19" i="10"/>
  <c r="O5" i="10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K17" i="10"/>
  <c r="K18" i="10"/>
  <c r="K14" i="10"/>
  <c r="K7" i="10"/>
  <c r="K8" i="10"/>
  <c r="K9" i="10"/>
  <c r="K10" i="10"/>
  <c r="K11" i="10"/>
  <c r="K12" i="10"/>
  <c r="K13" i="10"/>
  <c r="K6" i="10"/>
  <c r="J19" i="10"/>
  <c r="J16" i="10"/>
  <c r="J17" i="10"/>
  <c r="J18" i="10"/>
  <c r="K19" i="10" s="1"/>
  <c r="E15" i="10"/>
  <c r="J15" i="10"/>
  <c r="K15" i="10" s="1"/>
  <c r="F15" i="10"/>
  <c r="I5" i="10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F7" i="10"/>
  <c r="F8" i="10"/>
  <c r="F9" i="10"/>
  <c r="F10" i="10"/>
  <c r="F11" i="10"/>
  <c r="F12" i="10"/>
  <c r="F13" i="10"/>
  <c r="F14" i="10"/>
  <c r="F16" i="10"/>
  <c r="F6" i="10"/>
  <c r="E16" i="10"/>
  <c r="E17" i="10"/>
  <c r="F17" i="10" s="1"/>
  <c r="E18" i="10"/>
  <c r="F18" i="10" s="1"/>
  <c r="E19" i="10"/>
  <c r="F19" i="10" s="1"/>
  <c r="D5" i="10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Q17" i="10" l="1"/>
  <c r="K16" i="10"/>
  <c r="O38" i="9" l="1"/>
  <c r="O39" i="9"/>
  <c r="N38" i="9"/>
  <c r="N39" i="9"/>
  <c r="O37" i="9"/>
  <c r="N37" i="9"/>
  <c r="D39" i="9"/>
  <c r="E39" i="9"/>
  <c r="F39" i="9"/>
  <c r="G39" i="9"/>
  <c r="H39" i="9"/>
  <c r="I39" i="9"/>
  <c r="J39" i="9"/>
  <c r="K39" i="9"/>
  <c r="L39" i="9"/>
  <c r="D38" i="9"/>
  <c r="E38" i="9"/>
  <c r="F38" i="9"/>
  <c r="G38" i="9"/>
  <c r="H38" i="9"/>
  <c r="I38" i="9"/>
  <c r="J38" i="9"/>
  <c r="K38" i="9"/>
  <c r="L38" i="9"/>
  <c r="C39" i="9"/>
  <c r="C38" i="9"/>
  <c r="D37" i="9"/>
  <c r="E37" i="9"/>
  <c r="F37" i="9"/>
  <c r="G37" i="9"/>
  <c r="H37" i="9"/>
  <c r="I37" i="9"/>
  <c r="J37" i="9"/>
  <c r="K37" i="9"/>
  <c r="L37" i="9"/>
  <c r="C37" i="9"/>
  <c r="O33" i="9"/>
  <c r="O34" i="9"/>
  <c r="O35" i="9"/>
  <c r="N35" i="9"/>
  <c r="N33" i="9"/>
  <c r="N34" i="9"/>
  <c r="O32" i="9"/>
  <c r="N32" i="9"/>
  <c r="D35" i="9"/>
  <c r="E35" i="9"/>
  <c r="F35" i="9"/>
  <c r="G35" i="9"/>
  <c r="H35" i="9"/>
  <c r="I35" i="9"/>
  <c r="J35" i="9"/>
  <c r="K35" i="9"/>
  <c r="L35" i="9"/>
  <c r="D34" i="9"/>
  <c r="E34" i="9"/>
  <c r="F34" i="9"/>
  <c r="G34" i="9"/>
  <c r="H34" i="9"/>
  <c r="I34" i="9"/>
  <c r="J34" i="9"/>
  <c r="K34" i="9"/>
  <c r="L34" i="9"/>
  <c r="D33" i="9"/>
  <c r="E33" i="9"/>
  <c r="F33" i="9"/>
  <c r="I33" i="9"/>
  <c r="J33" i="9"/>
  <c r="K33" i="9"/>
  <c r="L33" i="9"/>
  <c r="C33" i="9"/>
  <c r="D32" i="9"/>
  <c r="E32" i="9"/>
  <c r="F32" i="9"/>
  <c r="G32" i="9"/>
  <c r="H32" i="9"/>
  <c r="I32" i="9"/>
  <c r="D30" i="9"/>
  <c r="O30" i="9" s="1"/>
  <c r="E30" i="9"/>
  <c r="F30" i="9"/>
  <c r="G30" i="9"/>
  <c r="H30" i="9"/>
  <c r="I30" i="9"/>
  <c r="J30" i="9"/>
  <c r="K30" i="9"/>
  <c r="L30" i="9"/>
  <c r="C30" i="9"/>
  <c r="D29" i="9"/>
  <c r="O29" i="9" s="1"/>
  <c r="E29" i="9"/>
  <c r="F29" i="9"/>
  <c r="N29" i="9" s="1"/>
  <c r="G29" i="9"/>
  <c r="H29" i="9"/>
  <c r="I29" i="9"/>
  <c r="J29" i="9"/>
  <c r="K29" i="9"/>
  <c r="L29" i="9"/>
  <c r="C29" i="9"/>
  <c r="D28" i="9"/>
  <c r="E28" i="9"/>
  <c r="F28" i="9"/>
  <c r="G28" i="9"/>
  <c r="H28" i="9"/>
  <c r="I28" i="9"/>
  <c r="J28" i="9"/>
  <c r="K28" i="9"/>
  <c r="L28" i="9"/>
  <c r="C28" i="9"/>
  <c r="O28" i="9" s="1"/>
  <c r="D27" i="9"/>
  <c r="N27" i="9" s="1"/>
  <c r="E27" i="9"/>
  <c r="F27" i="9"/>
  <c r="G27" i="9"/>
  <c r="G33" i="9" s="1"/>
  <c r="H27" i="9"/>
  <c r="H33" i="9" s="1"/>
  <c r="I27" i="9"/>
  <c r="J27" i="9"/>
  <c r="K27" i="9"/>
  <c r="L27" i="9"/>
  <c r="C27" i="9"/>
  <c r="O27" i="9" s="1"/>
  <c r="D26" i="9"/>
  <c r="E26" i="9"/>
  <c r="F26" i="9"/>
  <c r="G26" i="9"/>
  <c r="H26" i="9"/>
  <c r="I26" i="9"/>
  <c r="J26" i="9"/>
  <c r="J32" i="9" s="1"/>
  <c r="K26" i="9"/>
  <c r="K32" i="9" s="1"/>
  <c r="L26" i="9"/>
  <c r="L32" i="9" s="1"/>
  <c r="C26" i="9"/>
  <c r="N26" i="9" s="1"/>
  <c r="D24" i="9"/>
  <c r="E24" i="9"/>
  <c r="F24" i="9"/>
  <c r="G24" i="9"/>
  <c r="H24" i="9"/>
  <c r="I24" i="9"/>
  <c r="J24" i="9"/>
  <c r="K24" i="9"/>
  <c r="L24" i="9"/>
  <c r="D3" i="9"/>
  <c r="C24" i="9"/>
  <c r="O24" i="9" s="1"/>
  <c r="C26" i="7"/>
  <c r="D20" i="9"/>
  <c r="E20" i="9"/>
  <c r="F20" i="9"/>
  <c r="G20" i="9"/>
  <c r="H20" i="9"/>
  <c r="I20" i="9"/>
  <c r="J20" i="9"/>
  <c r="K20" i="9"/>
  <c r="L20" i="9"/>
  <c r="C20" i="9"/>
  <c r="N20" i="9" s="1"/>
  <c r="D18" i="9"/>
  <c r="E18" i="9"/>
  <c r="F18" i="9"/>
  <c r="G18" i="9"/>
  <c r="H18" i="9"/>
  <c r="I18" i="9"/>
  <c r="J18" i="9"/>
  <c r="K18" i="9"/>
  <c r="L18" i="9"/>
  <c r="C18" i="9"/>
  <c r="O18" i="9" s="1"/>
  <c r="D17" i="9"/>
  <c r="E17" i="9"/>
  <c r="F17" i="9"/>
  <c r="G17" i="9"/>
  <c r="H17" i="9"/>
  <c r="I17" i="9"/>
  <c r="J17" i="9"/>
  <c r="K17" i="9"/>
  <c r="L17" i="9"/>
  <c r="C17" i="9"/>
  <c r="O17" i="9" s="1"/>
  <c r="D16" i="9"/>
  <c r="O16" i="9" s="1"/>
  <c r="E16" i="9"/>
  <c r="F16" i="9"/>
  <c r="G16" i="9"/>
  <c r="H16" i="9"/>
  <c r="I16" i="9"/>
  <c r="J16" i="9"/>
  <c r="K16" i="9"/>
  <c r="L16" i="9"/>
  <c r="C16" i="9"/>
  <c r="D12" i="9"/>
  <c r="O12" i="9" s="1"/>
  <c r="E12" i="9"/>
  <c r="F12" i="9"/>
  <c r="G12" i="9"/>
  <c r="H12" i="9"/>
  <c r="I12" i="9"/>
  <c r="J12" i="9"/>
  <c r="K12" i="9"/>
  <c r="L12" i="9"/>
  <c r="C12" i="9"/>
  <c r="D11" i="9"/>
  <c r="E11" i="9"/>
  <c r="F11" i="9"/>
  <c r="G11" i="9"/>
  <c r="H11" i="9"/>
  <c r="I11" i="9"/>
  <c r="J11" i="9"/>
  <c r="K11" i="9"/>
  <c r="L11" i="9"/>
  <c r="C11" i="9"/>
  <c r="O11" i="9" s="1"/>
  <c r="O26" i="9" l="1"/>
  <c r="N30" i="9"/>
  <c r="O20" i="9"/>
  <c r="N11" i="9"/>
  <c r="C34" i="9"/>
  <c r="N16" i="9"/>
  <c r="N18" i="9"/>
  <c r="C32" i="9"/>
  <c r="N17" i="9"/>
  <c r="N24" i="9"/>
  <c r="N28" i="9"/>
  <c r="N12" i="9"/>
  <c r="E9" i="9" l="1"/>
  <c r="F9" i="9"/>
  <c r="G9" i="9"/>
  <c r="H9" i="9"/>
  <c r="I9" i="9"/>
  <c r="J9" i="9"/>
  <c r="K9" i="9"/>
  <c r="L9" i="9"/>
  <c r="D9" i="9"/>
  <c r="E7" i="9"/>
  <c r="F7" i="9"/>
  <c r="G7" i="9"/>
  <c r="H7" i="9"/>
  <c r="I7" i="9"/>
  <c r="J7" i="9"/>
  <c r="K7" i="9"/>
  <c r="L7" i="9"/>
  <c r="D7" i="9"/>
  <c r="E6" i="9"/>
  <c r="F6" i="9"/>
  <c r="G6" i="9"/>
  <c r="H6" i="9"/>
  <c r="I6" i="9"/>
  <c r="J6" i="9"/>
  <c r="K6" i="9"/>
  <c r="L6" i="9"/>
  <c r="D6" i="9"/>
  <c r="D5" i="9"/>
  <c r="E5" i="9"/>
  <c r="F5" i="9"/>
  <c r="G5" i="9"/>
  <c r="H5" i="9"/>
  <c r="I5" i="9"/>
  <c r="J5" i="9"/>
  <c r="K5" i="9"/>
  <c r="L5" i="9"/>
  <c r="C5" i="9"/>
  <c r="E3" i="9"/>
  <c r="F3" i="9"/>
  <c r="G3" i="9"/>
  <c r="H3" i="9"/>
  <c r="I3" i="9"/>
  <c r="J3" i="9"/>
  <c r="K3" i="9"/>
  <c r="L3" i="9"/>
  <c r="C3" i="9"/>
  <c r="O6" i="9" l="1"/>
  <c r="O9" i="9"/>
  <c r="O7" i="9"/>
  <c r="O5" i="9"/>
  <c r="N6" i="9"/>
  <c r="N7" i="9"/>
  <c r="N5" i="9"/>
  <c r="N9" i="9"/>
  <c r="D101" i="7" l="1"/>
  <c r="E101" i="7"/>
  <c r="F101" i="7"/>
  <c r="G101" i="7"/>
  <c r="H101" i="7"/>
  <c r="I101" i="7"/>
  <c r="J101" i="7"/>
  <c r="K101" i="7"/>
  <c r="L101" i="7"/>
  <c r="C101" i="7"/>
  <c r="D99" i="7"/>
  <c r="E99" i="7"/>
  <c r="F99" i="7"/>
  <c r="G99" i="7"/>
  <c r="H99" i="7"/>
  <c r="I99" i="7"/>
  <c r="J99" i="7"/>
  <c r="K99" i="7"/>
  <c r="L99" i="7"/>
  <c r="D98" i="7"/>
  <c r="E98" i="7"/>
  <c r="F98" i="7"/>
  <c r="G98" i="7"/>
  <c r="H98" i="7"/>
  <c r="I98" i="7"/>
  <c r="J98" i="7"/>
  <c r="K98" i="7"/>
  <c r="L98" i="7"/>
  <c r="D97" i="7"/>
  <c r="E97" i="7"/>
  <c r="F97" i="7"/>
  <c r="G97" i="7"/>
  <c r="H97" i="7"/>
  <c r="I97" i="7"/>
  <c r="J97" i="7"/>
  <c r="K97" i="7"/>
  <c r="L97" i="7"/>
  <c r="D96" i="7"/>
  <c r="E96" i="7"/>
  <c r="F96" i="7"/>
  <c r="G96" i="7"/>
  <c r="H96" i="7"/>
  <c r="I96" i="7"/>
  <c r="J96" i="7"/>
  <c r="K96" i="7"/>
  <c r="L96" i="7"/>
  <c r="D95" i="7"/>
  <c r="E95" i="7"/>
  <c r="F95" i="7"/>
  <c r="G95" i="7"/>
  <c r="H95" i="7"/>
  <c r="I95" i="7"/>
  <c r="J95" i="7"/>
  <c r="K95" i="7"/>
  <c r="L95" i="7"/>
  <c r="D94" i="7"/>
  <c r="E94" i="7"/>
  <c r="F94" i="7"/>
  <c r="G94" i="7"/>
  <c r="H94" i="7"/>
  <c r="I94" i="7"/>
  <c r="J94" i="7"/>
  <c r="K94" i="7"/>
  <c r="L94" i="7"/>
  <c r="D93" i="7"/>
  <c r="E93" i="7"/>
  <c r="F93" i="7"/>
  <c r="G93" i="7"/>
  <c r="H93" i="7"/>
  <c r="I93" i="7"/>
  <c r="J93" i="7"/>
  <c r="K93" i="7"/>
  <c r="L93" i="7"/>
  <c r="C99" i="7"/>
  <c r="C98" i="7"/>
  <c r="C97" i="7"/>
  <c r="C96" i="7"/>
  <c r="C95" i="7"/>
  <c r="C94" i="7"/>
  <c r="C93" i="7"/>
  <c r="D90" i="7"/>
  <c r="E90" i="7"/>
  <c r="F90" i="7"/>
  <c r="G90" i="7"/>
  <c r="H90" i="7"/>
  <c r="I90" i="7"/>
  <c r="J90" i="7"/>
  <c r="K90" i="7"/>
  <c r="L90" i="7"/>
  <c r="C90" i="7"/>
  <c r="D88" i="7"/>
  <c r="E88" i="7"/>
  <c r="F88" i="7"/>
  <c r="G88" i="7"/>
  <c r="H88" i="7"/>
  <c r="I88" i="7"/>
  <c r="J88" i="7"/>
  <c r="K88" i="7"/>
  <c r="L88" i="7"/>
  <c r="D87" i="7"/>
  <c r="E87" i="7"/>
  <c r="F87" i="7"/>
  <c r="G87" i="7"/>
  <c r="H87" i="7"/>
  <c r="I87" i="7"/>
  <c r="J87" i="7"/>
  <c r="K87" i="7"/>
  <c r="L87" i="7"/>
  <c r="D86" i="7"/>
  <c r="E86" i="7"/>
  <c r="F86" i="7"/>
  <c r="G86" i="7"/>
  <c r="H86" i="7"/>
  <c r="I86" i="7"/>
  <c r="J86" i="7"/>
  <c r="K86" i="7"/>
  <c r="L86" i="7"/>
  <c r="D85" i="7"/>
  <c r="E85" i="7"/>
  <c r="F85" i="7"/>
  <c r="G85" i="7"/>
  <c r="H85" i="7"/>
  <c r="I85" i="7"/>
  <c r="J85" i="7"/>
  <c r="K85" i="7"/>
  <c r="L85" i="7"/>
  <c r="D84" i="7"/>
  <c r="E84" i="7"/>
  <c r="F84" i="7"/>
  <c r="G84" i="7"/>
  <c r="H84" i="7"/>
  <c r="I84" i="7"/>
  <c r="J84" i="7"/>
  <c r="K84" i="7"/>
  <c r="L84" i="7"/>
  <c r="D83" i="7"/>
  <c r="E83" i="7"/>
  <c r="F83" i="7"/>
  <c r="G83" i="7"/>
  <c r="H83" i="7"/>
  <c r="I83" i="7"/>
  <c r="J83" i="7"/>
  <c r="K83" i="7"/>
  <c r="L83" i="7"/>
  <c r="D82" i="7"/>
  <c r="E82" i="7"/>
  <c r="F82" i="7"/>
  <c r="G82" i="7"/>
  <c r="H82" i="7"/>
  <c r="I82" i="7"/>
  <c r="J82" i="7"/>
  <c r="K82" i="7"/>
  <c r="L82" i="7"/>
  <c r="D81" i="7"/>
  <c r="E81" i="7"/>
  <c r="F81" i="7"/>
  <c r="G81" i="7"/>
  <c r="H81" i="7"/>
  <c r="I81" i="7"/>
  <c r="J81" i="7"/>
  <c r="K81" i="7"/>
  <c r="L81" i="7"/>
  <c r="D80" i="7"/>
  <c r="E80" i="7"/>
  <c r="F80" i="7"/>
  <c r="G80" i="7"/>
  <c r="H80" i="7"/>
  <c r="I80" i="7"/>
  <c r="J80" i="7"/>
  <c r="K80" i="7"/>
  <c r="L80" i="7"/>
  <c r="D79" i="7"/>
  <c r="E79" i="7"/>
  <c r="F79" i="7"/>
  <c r="G79" i="7"/>
  <c r="H79" i="7"/>
  <c r="I79" i="7"/>
  <c r="J79" i="7"/>
  <c r="K79" i="7"/>
  <c r="L79" i="7"/>
  <c r="C88" i="7"/>
  <c r="C87" i="7"/>
  <c r="C86" i="7"/>
  <c r="C85" i="7"/>
  <c r="C84" i="7"/>
  <c r="C83" i="7"/>
  <c r="C82" i="7"/>
  <c r="C81" i="7"/>
  <c r="C80" i="7"/>
  <c r="C79" i="7"/>
  <c r="D76" i="7"/>
  <c r="E76" i="7"/>
  <c r="F76" i="7"/>
  <c r="G76" i="7"/>
  <c r="H76" i="7"/>
  <c r="I76" i="7"/>
  <c r="J76" i="7"/>
  <c r="K76" i="7"/>
  <c r="K103" i="7" s="1"/>
  <c r="L76" i="7"/>
  <c r="L103" i="7" s="1"/>
  <c r="D74" i="7"/>
  <c r="E74" i="7"/>
  <c r="F74" i="7"/>
  <c r="G74" i="7"/>
  <c r="H74" i="7"/>
  <c r="I74" i="7"/>
  <c r="J74" i="7"/>
  <c r="K74" i="7"/>
  <c r="L74" i="7"/>
  <c r="D73" i="7"/>
  <c r="E73" i="7"/>
  <c r="F73" i="7"/>
  <c r="G73" i="7"/>
  <c r="H73" i="7"/>
  <c r="I73" i="7"/>
  <c r="J73" i="7"/>
  <c r="K73" i="7"/>
  <c r="L73" i="7"/>
  <c r="D72" i="7"/>
  <c r="E72" i="7"/>
  <c r="F72" i="7"/>
  <c r="G72" i="7"/>
  <c r="H72" i="7"/>
  <c r="I72" i="7"/>
  <c r="J72" i="7"/>
  <c r="K72" i="7"/>
  <c r="L72" i="7"/>
  <c r="D71" i="7"/>
  <c r="E71" i="7"/>
  <c r="F71" i="7"/>
  <c r="G71" i="7"/>
  <c r="H71" i="7"/>
  <c r="I71" i="7"/>
  <c r="J71" i="7"/>
  <c r="K71" i="7"/>
  <c r="L71" i="7"/>
  <c r="D70" i="7"/>
  <c r="E70" i="7"/>
  <c r="F70" i="7"/>
  <c r="G70" i="7"/>
  <c r="H70" i="7"/>
  <c r="I70" i="7"/>
  <c r="J70" i="7"/>
  <c r="K70" i="7"/>
  <c r="L70" i="7"/>
  <c r="C74" i="7"/>
  <c r="C73" i="7"/>
  <c r="C72" i="7"/>
  <c r="C71" i="7"/>
  <c r="C70" i="7"/>
  <c r="C76" i="7" s="1"/>
  <c r="C103" i="7" s="1"/>
  <c r="D69" i="7"/>
  <c r="E69" i="7"/>
  <c r="F69" i="7"/>
  <c r="G69" i="7"/>
  <c r="H69" i="7"/>
  <c r="I69" i="7"/>
  <c r="J69" i="7"/>
  <c r="K69" i="7"/>
  <c r="L69" i="7"/>
  <c r="C69" i="7"/>
  <c r="D61" i="7"/>
  <c r="E61" i="7"/>
  <c r="F61" i="7"/>
  <c r="G61" i="7"/>
  <c r="H61" i="7"/>
  <c r="I61" i="7"/>
  <c r="J61" i="7"/>
  <c r="K61" i="7"/>
  <c r="L61" i="7"/>
  <c r="D60" i="7"/>
  <c r="E60" i="7"/>
  <c r="F60" i="7"/>
  <c r="G60" i="7"/>
  <c r="H60" i="7"/>
  <c r="I60" i="7"/>
  <c r="J60" i="7"/>
  <c r="K60" i="7"/>
  <c r="L60" i="7"/>
  <c r="D59" i="7"/>
  <c r="E59" i="7"/>
  <c r="F59" i="7"/>
  <c r="G59" i="7"/>
  <c r="H59" i="7"/>
  <c r="I59" i="7"/>
  <c r="J59" i="7"/>
  <c r="K59" i="7"/>
  <c r="L59" i="7"/>
  <c r="L62" i="7" s="1"/>
  <c r="D58" i="7"/>
  <c r="D62" i="7" s="1"/>
  <c r="E58" i="7"/>
  <c r="F58" i="7"/>
  <c r="G58" i="7"/>
  <c r="G62" i="7" s="1"/>
  <c r="H58" i="7"/>
  <c r="I58" i="7"/>
  <c r="J58" i="7"/>
  <c r="K58" i="7"/>
  <c r="L58" i="7"/>
  <c r="C61" i="7"/>
  <c r="C60" i="7"/>
  <c r="C59" i="7"/>
  <c r="C58" i="7"/>
  <c r="C62" i="7" s="1"/>
  <c r="C56" i="7"/>
  <c r="D55" i="7"/>
  <c r="E55" i="7"/>
  <c r="F55" i="7"/>
  <c r="G55" i="7"/>
  <c r="H55" i="7"/>
  <c r="I55" i="7"/>
  <c r="J55" i="7"/>
  <c r="K55" i="7"/>
  <c r="L55" i="7"/>
  <c r="D54" i="7"/>
  <c r="E54" i="7"/>
  <c r="F54" i="7"/>
  <c r="G54" i="7"/>
  <c r="H54" i="7"/>
  <c r="I54" i="7"/>
  <c r="J54" i="7"/>
  <c r="K54" i="7"/>
  <c r="L54" i="7"/>
  <c r="D53" i="7"/>
  <c r="E53" i="7"/>
  <c r="E56" i="7" s="1"/>
  <c r="F53" i="7"/>
  <c r="G53" i="7"/>
  <c r="H53" i="7"/>
  <c r="I53" i="7"/>
  <c r="J53" i="7"/>
  <c r="K53" i="7"/>
  <c r="L53" i="7"/>
  <c r="C55" i="7"/>
  <c r="C54" i="7"/>
  <c r="C53" i="7"/>
  <c r="D49" i="7"/>
  <c r="E49" i="7"/>
  <c r="F49" i="7"/>
  <c r="G49" i="7"/>
  <c r="H49" i="7"/>
  <c r="I49" i="7"/>
  <c r="J49" i="7"/>
  <c r="K49" i="7"/>
  <c r="L49" i="7"/>
  <c r="D48" i="7"/>
  <c r="E48" i="7"/>
  <c r="F48" i="7"/>
  <c r="G48" i="7"/>
  <c r="H48" i="7"/>
  <c r="I48" i="7"/>
  <c r="J48" i="7"/>
  <c r="K48" i="7"/>
  <c r="L48" i="7"/>
  <c r="D47" i="7"/>
  <c r="E47" i="7"/>
  <c r="F47" i="7"/>
  <c r="G47" i="7"/>
  <c r="H47" i="7"/>
  <c r="I47" i="7"/>
  <c r="J47" i="7"/>
  <c r="K47" i="7"/>
  <c r="L47" i="7"/>
  <c r="C49" i="7"/>
  <c r="C48" i="7"/>
  <c r="C47" i="7"/>
  <c r="D46" i="7"/>
  <c r="E46" i="7"/>
  <c r="F46" i="7"/>
  <c r="G46" i="7"/>
  <c r="H46" i="7"/>
  <c r="I46" i="7"/>
  <c r="J46" i="7"/>
  <c r="K46" i="7"/>
  <c r="L46" i="7"/>
  <c r="C46" i="7"/>
  <c r="C51" i="7" s="1"/>
  <c r="D36" i="7"/>
  <c r="D40" i="7" s="1"/>
  <c r="E36" i="7"/>
  <c r="E40" i="7" s="1"/>
  <c r="F36" i="7"/>
  <c r="F40" i="7" s="1"/>
  <c r="G36" i="7"/>
  <c r="G40" i="7" s="1"/>
  <c r="H36" i="7"/>
  <c r="H40" i="7" s="1"/>
  <c r="I36" i="7"/>
  <c r="I40" i="7" s="1"/>
  <c r="J36" i="7"/>
  <c r="J40" i="7" s="1"/>
  <c r="K36" i="7"/>
  <c r="K40" i="7" s="1"/>
  <c r="L36" i="7"/>
  <c r="M36" i="7" s="1"/>
  <c r="C36" i="7"/>
  <c r="C40" i="7" s="1"/>
  <c r="M29" i="7"/>
  <c r="D29" i="7"/>
  <c r="E29" i="7"/>
  <c r="F29" i="7"/>
  <c r="G29" i="7"/>
  <c r="H29" i="7"/>
  <c r="I29" i="7"/>
  <c r="J29" i="7"/>
  <c r="K29" i="7"/>
  <c r="L29" i="7"/>
  <c r="C29" i="7"/>
  <c r="M24" i="7"/>
  <c r="D24" i="7"/>
  <c r="E24" i="7"/>
  <c r="F24" i="7"/>
  <c r="G24" i="7"/>
  <c r="H24" i="7"/>
  <c r="I24" i="7"/>
  <c r="J24" i="7"/>
  <c r="K24" i="7"/>
  <c r="L24" i="7"/>
  <c r="C24" i="7"/>
  <c r="M23" i="7"/>
  <c r="D23" i="7"/>
  <c r="E23" i="7"/>
  <c r="F23" i="7"/>
  <c r="G23" i="7"/>
  <c r="H23" i="7"/>
  <c r="I23" i="7"/>
  <c r="J23" i="7"/>
  <c r="K23" i="7"/>
  <c r="L23" i="7"/>
  <c r="C23" i="7"/>
  <c r="M20" i="7"/>
  <c r="D20" i="7"/>
  <c r="E20" i="7"/>
  <c r="F20" i="7"/>
  <c r="G20" i="7"/>
  <c r="H20" i="7"/>
  <c r="I20" i="7"/>
  <c r="J20" i="7"/>
  <c r="K20" i="7"/>
  <c r="L20" i="7"/>
  <c r="C20" i="7"/>
  <c r="D15" i="7"/>
  <c r="E15" i="7"/>
  <c r="F15" i="7"/>
  <c r="G15" i="7"/>
  <c r="H15" i="7"/>
  <c r="I15" i="7"/>
  <c r="J15" i="7"/>
  <c r="K15" i="7"/>
  <c r="L15" i="7"/>
  <c r="C15" i="7"/>
  <c r="M9" i="7"/>
  <c r="C9" i="7"/>
  <c r="D9" i="7"/>
  <c r="E9" i="7"/>
  <c r="F9" i="7"/>
  <c r="G9" i="7"/>
  <c r="H9" i="7"/>
  <c r="I9" i="7"/>
  <c r="J9" i="7"/>
  <c r="K9" i="7"/>
  <c r="L9" i="7"/>
  <c r="J103" i="7" l="1"/>
  <c r="I103" i="7"/>
  <c r="H103" i="7"/>
  <c r="G103" i="7"/>
  <c r="F103" i="7"/>
  <c r="E103" i="7"/>
  <c r="D103" i="7"/>
  <c r="F56" i="7"/>
  <c r="K51" i="7"/>
  <c r="L40" i="7"/>
  <c r="G51" i="7"/>
  <c r="F62" i="7"/>
  <c r="F64" i="7" s="1"/>
  <c r="F51" i="7"/>
  <c r="E62" i="7"/>
  <c r="E64" i="7" s="1"/>
  <c r="E51" i="7"/>
  <c r="J51" i="7"/>
  <c r="D51" i="7"/>
  <c r="I51" i="7"/>
  <c r="H51" i="7"/>
  <c r="C64" i="7"/>
  <c r="H62" i="7"/>
  <c r="K56" i="7"/>
  <c r="D56" i="7"/>
  <c r="D64" i="7" s="1"/>
  <c r="J56" i="7"/>
  <c r="L56" i="7"/>
  <c r="L64" i="7" s="1"/>
  <c r="I56" i="7"/>
  <c r="K62" i="7"/>
  <c r="H56" i="7"/>
  <c r="J62" i="7"/>
  <c r="L51" i="7"/>
  <c r="G56" i="7"/>
  <c r="G64" i="7" s="1"/>
  <c r="I62" i="7"/>
  <c r="H64" i="7" l="1"/>
  <c r="I64" i="7"/>
  <c r="J64" i="7"/>
  <c r="K64" i="7"/>
  <c r="M6" i="7" l="1"/>
  <c r="D6" i="7"/>
  <c r="E6" i="7"/>
  <c r="F6" i="7"/>
  <c r="G6" i="7"/>
  <c r="H6" i="7"/>
  <c r="H7" i="7" s="1"/>
  <c r="I6" i="7"/>
  <c r="I7" i="7" s="1"/>
  <c r="J6" i="7"/>
  <c r="J7" i="7" s="1"/>
  <c r="K6" i="7"/>
  <c r="K7" i="7" s="1"/>
  <c r="L6" i="7"/>
  <c r="C6" i="7"/>
  <c r="D3" i="7"/>
  <c r="E3" i="7"/>
  <c r="F3" i="7"/>
  <c r="G3" i="7"/>
  <c r="H3" i="7"/>
  <c r="I3" i="7"/>
  <c r="J3" i="7"/>
  <c r="K3" i="7"/>
  <c r="L3" i="7"/>
  <c r="C3" i="7"/>
  <c r="L7" i="7" l="1"/>
  <c r="D10" i="7"/>
  <c r="D16" i="7"/>
  <c r="D12" i="7"/>
  <c r="F16" i="7"/>
  <c r="F12" i="7"/>
  <c r="F10" i="7"/>
  <c r="E10" i="7"/>
  <c r="E16" i="7"/>
  <c r="E12" i="7"/>
  <c r="M12" i="7"/>
  <c r="M10" i="7"/>
  <c r="D7" i="7"/>
  <c r="M7" i="7"/>
  <c r="C12" i="7"/>
  <c r="C16" i="7"/>
  <c r="C10" i="7"/>
  <c r="L12" i="7"/>
  <c r="L16" i="7"/>
  <c r="L10" i="7"/>
  <c r="K12" i="7"/>
  <c r="K16" i="7"/>
  <c r="K10" i="7"/>
  <c r="G7" i="7"/>
  <c r="J10" i="7"/>
  <c r="J12" i="7"/>
  <c r="J16" i="7"/>
  <c r="F7" i="7"/>
  <c r="I12" i="7"/>
  <c r="I10" i="7"/>
  <c r="I16" i="7"/>
  <c r="E7" i="7"/>
  <c r="H10" i="7"/>
  <c r="H12" i="7"/>
  <c r="H16" i="7"/>
  <c r="G12" i="7"/>
  <c r="G10" i="7"/>
  <c r="G16" i="7"/>
  <c r="C6" i="3"/>
  <c r="D6" i="3"/>
  <c r="E6" i="3"/>
  <c r="F6" i="3"/>
  <c r="G6" i="3"/>
  <c r="H6" i="3"/>
  <c r="L6" i="1" s="1"/>
  <c r="I6" i="3"/>
  <c r="J6" i="3"/>
  <c r="K6" i="3"/>
  <c r="B6" i="3"/>
  <c r="C5" i="1"/>
  <c r="D5" i="1"/>
  <c r="E5" i="1"/>
  <c r="F5" i="1"/>
  <c r="G5" i="1"/>
  <c r="G6" i="1" s="1"/>
  <c r="G19" i="1" s="1"/>
  <c r="H5" i="1"/>
  <c r="I5" i="1"/>
  <c r="J5" i="1"/>
  <c r="K5" i="1"/>
  <c r="B5" i="1"/>
  <c r="K13" i="1"/>
  <c r="J13" i="1"/>
  <c r="B6" i="6"/>
  <c r="C17" i="2"/>
  <c r="D17" i="2"/>
  <c r="D20" i="2" s="1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F21" i="2" s="1"/>
  <c r="G18" i="2"/>
  <c r="G21" i="2" s="1"/>
  <c r="H18" i="2"/>
  <c r="I18" i="2"/>
  <c r="J18" i="2"/>
  <c r="K18" i="2"/>
  <c r="B17" i="2"/>
  <c r="C4" i="2"/>
  <c r="D4" i="2"/>
  <c r="E24" i="2" s="1"/>
  <c r="E4" i="2"/>
  <c r="E5" i="2"/>
  <c r="F4" i="2"/>
  <c r="G4" i="2"/>
  <c r="H4" i="2"/>
  <c r="I4" i="2"/>
  <c r="I5" i="2"/>
  <c r="I23" i="2"/>
  <c r="J4" i="2"/>
  <c r="J5" i="2"/>
  <c r="J23" i="2" s="1"/>
  <c r="K4" i="2"/>
  <c r="C5" i="2"/>
  <c r="D5" i="2"/>
  <c r="F5" i="2"/>
  <c r="F23" i="2" s="1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E13" i="2"/>
  <c r="F13" i="2"/>
  <c r="F16" i="2" s="1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H14" i="3" s="1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E6" i="1" s="1"/>
  <c r="E19" i="1" s="1"/>
  <c r="F4" i="1"/>
  <c r="G4" i="1"/>
  <c r="G20" i="2" s="1"/>
  <c r="H4" i="1"/>
  <c r="I4" i="1"/>
  <c r="J4" i="1"/>
  <c r="J6" i="1" s="1"/>
  <c r="J19" i="1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E23" i="2" s="1"/>
  <c r="F12" i="1"/>
  <c r="F13" i="1" s="1"/>
  <c r="F14" i="1" s="1"/>
  <c r="G12" i="1"/>
  <c r="G13" i="1" s="1"/>
  <c r="G14" i="1" s="1"/>
  <c r="H12" i="1"/>
  <c r="H13" i="1" s="1"/>
  <c r="I12" i="1"/>
  <c r="J12" i="1"/>
  <c r="K12" i="1"/>
  <c r="C15" i="1"/>
  <c r="D15" i="1"/>
  <c r="E15" i="1"/>
  <c r="F15" i="1"/>
  <c r="G15" i="1"/>
  <c r="H15" i="1"/>
  <c r="I15" i="1"/>
  <c r="I14" i="1" s="1"/>
  <c r="J15" i="1"/>
  <c r="J14" i="1"/>
  <c r="K15" i="1"/>
  <c r="K14" i="1" s="1"/>
  <c r="B15" i="1"/>
  <c r="I13" i="1"/>
  <c r="B7" i="1"/>
  <c r="B4" i="1"/>
  <c r="A1" i="1"/>
  <c r="A1" i="3" s="1"/>
  <c r="E1" i="6"/>
  <c r="H1" i="1" s="1"/>
  <c r="E1" i="2"/>
  <c r="E1" i="3"/>
  <c r="K23" i="2"/>
  <c r="C23" i="2"/>
  <c r="K16" i="2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C21" i="2"/>
  <c r="B18" i="2"/>
  <c r="B21" i="2"/>
  <c r="B13" i="2"/>
  <c r="B12" i="2"/>
  <c r="B11" i="2"/>
  <c r="B10" i="2"/>
  <c r="B8" i="2"/>
  <c r="B7" i="2"/>
  <c r="B6" i="2"/>
  <c r="B3" i="2"/>
  <c r="J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E14" i="3"/>
  <c r="G14" i="3"/>
  <c r="J20" i="2"/>
  <c r="C20" i="2"/>
  <c r="E20" i="2"/>
  <c r="A1" i="2"/>
  <c r="A1" i="4"/>
  <c r="I13" i="7" l="1"/>
  <c r="I18" i="7"/>
  <c r="E13" i="7"/>
  <c r="E18" i="7"/>
  <c r="C13" i="7"/>
  <c r="C18" i="7"/>
  <c r="M18" i="7"/>
  <c r="M13" i="7"/>
  <c r="J13" i="7"/>
  <c r="J18" i="7"/>
  <c r="F13" i="7"/>
  <c r="F18" i="7"/>
  <c r="K13" i="7"/>
  <c r="K18" i="7"/>
  <c r="G13" i="7"/>
  <c r="G18" i="7"/>
  <c r="D13" i="7"/>
  <c r="D18" i="7"/>
  <c r="H13" i="7"/>
  <c r="H18" i="7"/>
  <c r="L18" i="7"/>
  <c r="L13" i="7"/>
  <c r="N11" i="1"/>
  <c r="M11" i="1"/>
  <c r="D24" i="2"/>
  <c r="K25" i="1"/>
  <c r="M25" i="1" s="1"/>
  <c r="M14" i="1" s="1"/>
  <c r="C24" i="2"/>
  <c r="J23" i="1"/>
  <c r="K6" i="1"/>
  <c r="K19" i="1" s="1"/>
  <c r="H14" i="1"/>
  <c r="I23" i="1"/>
  <c r="K24" i="1"/>
  <c r="L9" i="1"/>
  <c r="M9" i="1" s="1"/>
  <c r="L7" i="1"/>
  <c r="E16" i="2"/>
  <c r="H23" i="1"/>
  <c r="I24" i="1"/>
  <c r="B14" i="3"/>
  <c r="I6" i="1"/>
  <c r="I19" i="1" s="1"/>
  <c r="J24" i="1" s="1"/>
  <c r="B16" i="2"/>
  <c r="D23" i="2"/>
  <c r="F20" i="2"/>
  <c r="H23" i="2"/>
  <c r="E14" i="1"/>
  <c r="I25" i="1" s="1"/>
  <c r="J24" i="2"/>
  <c r="B20" i="2"/>
  <c r="D14" i="1"/>
  <c r="I24" i="2"/>
  <c r="L4" i="1"/>
  <c r="L23" i="1" s="1"/>
  <c r="N23" i="1" s="1"/>
  <c r="N4" i="1" s="1"/>
  <c r="H24" i="2"/>
  <c r="B23" i="2"/>
  <c r="G24" i="2"/>
  <c r="D13" i="1"/>
  <c r="E13" i="1" s="1"/>
  <c r="B6" i="1"/>
  <c r="B19" i="1" s="1"/>
  <c r="H24" i="1" s="1"/>
  <c r="L8" i="1"/>
  <c r="G23" i="2"/>
  <c r="B14" i="1"/>
  <c r="I16" i="2"/>
  <c r="F24" i="2"/>
  <c r="J25" i="1"/>
  <c r="N9" i="1"/>
  <c r="N8" i="1"/>
  <c r="M8" i="1"/>
  <c r="H25" i="1"/>
  <c r="I20" i="2"/>
  <c r="H20" i="2"/>
  <c r="K23" i="1"/>
  <c r="H6" i="1"/>
  <c r="H19" i="1" s="1"/>
  <c r="F6" i="1"/>
  <c r="F19" i="1" s="1"/>
  <c r="E1" i="4"/>
  <c r="E19" i="7" l="1"/>
  <c r="E22" i="7"/>
  <c r="E26" i="7" s="1"/>
  <c r="D19" i="7"/>
  <c r="D22" i="7"/>
  <c r="D26" i="7" s="1"/>
  <c r="I19" i="7"/>
  <c r="I22" i="7"/>
  <c r="I26" i="7" s="1"/>
  <c r="G22" i="7"/>
  <c r="G26" i="7" s="1"/>
  <c r="G19" i="7"/>
  <c r="K22" i="7"/>
  <c r="K26" i="7" s="1"/>
  <c r="K19" i="7"/>
  <c r="F19" i="7"/>
  <c r="F22" i="7"/>
  <c r="F26" i="7" s="1"/>
  <c r="J19" i="7"/>
  <c r="J22" i="7"/>
  <c r="J26" i="7" s="1"/>
  <c r="M22" i="7"/>
  <c r="M26" i="7" s="1"/>
  <c r="M19" i="7"/>
  <c r="C19" i="7"/>
  <c r="C22" i="7"/>
  <c r="L19" i="7"/>
  <c r="L22" i="7"/>
  <c r="L26" i="7" s="1"/>
  <c r="H19" i="7"/>
  <c r="H22" i="7"/>
  <c r="H26" i="7" s="1"/>
  <c r="N25" i="1"/>
  <c r="N14" i="1" s="1"/>
  <c r="M23" i="1"/>
  <c r="M4" i="1" s="1"/>
  <c r="L19" i="1"/>
  <c r="L24" i="1" s="1"/>
  <c r="M24" i="1" s="1"/>
  <c r="M6" i="1" s="1"/>
  <c r="M10" i="1" s="1"/>
  <c r="M12" i="1" s="1"/>
  <c r="M13" i="1" s="1"/>
  <c r="M15" i="1" s="1"/>
  <c r="C32" i="7" l="1"/>
  <c r="C22" i="9" s="1"/>
  <c r="C27" i="7"/>
  <c r="C13" i="9" s="1"/>
  <c r="C30" i="7"/>
  <c r="E30" i="7"/>
  <c r="E32" i="7"/>
  <c r="E27" i="7"/>
  <c r="E13" i="9" s="1"/>
  <c r="L27" i="7"/>
  <c r="L13" i="9" s="1"/>
  <c r="L30" i="7"/>
  <c r="L32" i="7"/>
  <c r="D30" i="7"/>
  <c r="D32" i="7"/>
  <c r="D27" i="7"/>
  <c r="D13" i="9" s="1"/>
  <c r="M32" i="7"/>
  <c r="M27" i="7"/>
  <c r="M30" i="7"/>
  <c r="J27" i="7"/>
  <c r="J13" i="9" s="1"/>
  <c r="J30" i="7"/>
  <c r="J32" i="7"/>
  <c r="F30" i="7"/>
  <c r="F32" i="7"/>
  <c r="F27" i="7"/>
  <c r="F13" i="9" s="1"/>
  <c r="K27" i="7"/>
  <c r="K13" i="9" s="1"/>
  <c r="K30" i="7"/>
  <c r="K32" i="7"/>
  <c r="G30" i="7"/>
  <c r="G32" i="7"/>
  <c r="G27" i="7"/>
  <c r="G13" i="9" s="1"/>
  <c r="H30" i="7"/>
  <c r="H32" i="7"/>
  <c r="H27" i="7"/>
  <c r="H13" i="9" s="1"/>
  <c r="I30" i="7"/>
  <c r="I32" i="7"/>
  <c r="I27" i="7"/>
  <c r="I13" i="9" s="1"/>
  <c r="N24" i="1"/>
  <c r="N6" i="1" s="1"/>
  <c r="M5" i="1"/>
  <c r="I22" i="9" l="1"/>
  <c r="I8" i="9"/>
  <c r="H22" i="9"/>
  <c r="H8" i="9"/>
  <c r="D22" i="9"/>
  <c r="N22" i="9" s="1"/>
  <c r="D8" i="9"/>
  <c r="G22" i="9"/>
  <c r="G8" i="9"/>
  <c r="L22" i="9"/>
  <c r="L8" i="9"/>
  <c r="K22" i="9"/>
  <c r="K8" i="9"/>
  <c r="E22" i="9"/>
  <c r="E8" i="9"/>
  <c r="F22" i="9"/>
  <c r="F8" i="9"/>
  <c r="J22" i="9"/>
  <c r="J8" i="9"/>
  <c r="N13" i="9"/>
  <c r="O13" i="9"/>
  <c r="I33" i="7"/>
  <c r="I14" i="9" s="1"/>
  <c r="I37" i="7"/>
  <c r="K33" i="7"/>
  <c r="K14" i="9" s="1"/>
  <c r="K37" i="7"/>
  <c r="H33" i="7"/>
  <c r="H14" i="9" s="1"/>
  <c r="H37" i="7"/>
  <c r="M33" i="7"/>
  <c r="M37" i="7"/>
  <c r="D37" i="7"/>
  <c r="D33" i="7"/>
  <c r="D14" i="9" s="1"/>
  <c r="G37" i="7"/>
  <c r="G33" i="7"/>
  <c r="G14" i="9" s="1"/>
  <c r="L33" i="7"/>
  <c r="L14" i="9" s="1"/>
  <c r="L37" i="7"/>
  <c r="E37" i="7"/>
  <c r="E33" i="7"/>
  <c r="E14" i="9" s="1"/>
  <c r="F37" i="7"/>
  <c r="F33" i="7"/>
  <c r="F14" i="9" s="1"/>
  <c r="J33" i="7"/>
  <c r="J14" i="9" s="1"/>
  <c r="J37" i="7"/>
  <c r="C33" i="7"/>
  <c r="C14" i="9" s="1"/>
  <c r="C37" i="7"/>
  <c r="C41" i="7" s="1"/>
  <c r="C42" i="7" s="1"/>
  <c r="C21" i="9" s="1"/>
  <c r="N10" i="1"/>
  <c r="N12" i="1" s="1"/>
  <c r="N13" i="1" s="1"/>
  <c r="N15" i="1" s="1"/>
  <c r="N5" i="1"/>
  <c r="C23" i="9" l="1"/>
  <c r="O22" i="9"/>
  <c r="O8" i="9"/>
  <c r="N14" i="9"/>
  <c r="O14" i="9"/>
  <c r="N8" i="9"/>
  <c r="E38" i="7"/>
  <c r="E41" i="7"/>
  <c r="E42" i="7" s="1"/>
  <c r="E21" i="9" s="1"/>
  <c r="E23" i="9" s="1"/>
  <c r="L38" i="7"/>
  <c r="L41" i="7"/>
  <c r="L42" i="7" s="1"/>
  <c r="L21" i="9" s="1"/>
  <c r="L23" i="9" s="1"/>
  <c r="G38" i="7"/>
  <c r="G41" i="7"/>
  <c r="G42" i="7" s="1"/>
  <c r="G21" i="9" s="1"/>
  <c r="G23" i="9" s="1"/>
  <c r="D38" i="7"/>
  <c r="D41" i="7"/>
  <c r="D42" i="7" s="1"/>
  <c r="D21" i="9" s="1"/>
  <c r="D23" i="9" s="1"/>
  <c r="M38" i="7"/>
  <c r="H38" i="7"/>
  <c r="H41" i="7"/>
  <c r="H42" i="7" s="1"/>
  <c r="H21" i="9" s="1"/>
  <c r="H23" i="9" s="1"/>
  <c r="K38" i="7"/>
  <c r="K41" i="7"/>
  <c r="K42" i="7" s="1"/>
  <c r="K21" i="9" s="1"/>
  <c r="K23" i="9" s="1"/>
  <c r="I38" i="7"/>
  <c r="I41" i="7"/>
  <c r="I42" i="7" s="1"/>
  <c r="I21" i="9" s="1"/>
  <c r="I23" i="9" s="1"/>
  <c r="J38" i="7"/>
  <c r="J41" i="7"/>
  <c r="J42" i="7" s="1"/>
  <c r="J21" i="9" s="1"/>
  <c r="J23" i="9" s="1"/>
  <c r="F38" i="7"/>
  <c r="F41" i="7"/>
  <c r="F42" i="7" s="1"/>
  <c r="F21" i="9" s="1"/>
  <c r="F23" i="9" s="1"/>
  <c r="N21" i="9" l="1"/>
  <c r="O21" i="9"/>
  <c r="O23" i="9"/>
  <c r="N23" i="9"/>
</calcChain>
</file>

<file path=xl/sharedStrings.xml><?xml version="1.0" encoding="utf-8"?>
<sst xmlns="http://schemas.openxmlformats.org/spreadsheetml/2006/main" count="326" uniqueCount="210">
  <si>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</si>
  <si>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</si>
  <si>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</si>
  <si>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</si>
  <si>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</si>
  <si>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</si>
  <si>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</si>
  <si>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</si>
  <si>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</si>
  <si>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</si>
  <si>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</si>
  <si>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</si>
  <si>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</si>
  <si>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</si>
  <si>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</si>
  <si>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</si>
  <si>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</si>
  <si>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</si>
  <si>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</si>
  <si>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</si>
  <si>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</si>
  <si>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</si>
  <si>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</si>
  <si>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</si>
  <si>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</si>
  <si>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</si>
  <si>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</si>
  <si>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</si>
  <si>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</si>
  <si>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</si>
  <si>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</si>
  <si>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</si>
  <si>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</si>
  <si>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</si>
  <si>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</si>
  <si>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</si>
  <si>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</si>
  <si>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</si>
  <si>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</si>
  <si>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</si>
  <si>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</si>
  <si>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</si>
  <si>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</si>
  <si>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</si>
  <si>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</si>
  <si>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</si>
  <si>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</si>
  <si>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</si>
  <si>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</si>
  <si>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</si>
  <si>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</si>
  <si>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</si>
  <si>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</si>
  <si>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</si>
  <si>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ASIAN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</si>
  <si>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</si>
  <si>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</si>
  <si>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</si>
  <si>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</si>
  <si>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</si>
  <si>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</si>
  <si>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</si>
  <si>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</si>
  <si>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</si>
  <si>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</si>
  <si>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</si>
  <si>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</si>
  <si>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</si>
  <si>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</si>
  <si>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</si>
  <si>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</si>
  <si>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</si>
  <si>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</si>
  <si>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</si>
  <si>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</si>
  <si>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</si>
  <si>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</si>
  <si>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</si>
  <si>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</si>
  <si>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</si>
  <si>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</si>
  <si>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</si>
  <si>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</si>
  <si>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Historical Financial Statements - Asian Paints</t>
  </si>
  <si>
    <t>#</t>
  </si>
  <si>
    <t>Income Statement</t>
  </si>
  <si>
    <t>Revenue From Operations</t>
  </si>
  <si>
    <t>Revenue Growth</t>
  </si>
  <si>
    <t>-</t>
  </si>
  <si>
    <t>Cost of Goods Sold</t>
  </si>
  <si>
    <t>COGS % of Sales</t>
  </si>
  <si>
    <t>Gross Profit</t>
  </si>
  <si>
    <t>Gross Margins</t>
  </si>
  <si>
    <t>Selling and General Expenses</t>
  </si>
  <si>
    <t>S&amp;G Expenses % of Sales</t>
  </si>
  <si>
    <t>EBITDA</t>
  </si>
  <si>
    <t>EBITDA Margins</t>
  </si>
  <si>
    <t>EBIT</t>
  </si>
  <si>
    <t>Other income</t>
  </si>
  <si>
    <t>EBT</t>
  </si>
  <si>
    <t>EBT Margins</t>
  </si>
  <si>
    <t>Taxes</t>
  </si>
  <si>
    <t>Effective Tax Rate</t>
  </si>
  <si>
    <t>Net Profit</t>
  </si>
  <si>
    <t>Net Profit Margins</t>
  </si>
  <si>
    <t>No of Equity Shares</t>
  </si>
  <si>
    <t>Earning Per Share</t>
  </si>
  <si>
    <t>EPS Growth %</t>
  </si>
  <si>
    <t>Dividend Per Share</t>
  </si>
  <si>
    <t>Dividend Payout Ratio</t>
  </si>
  <si>
    <t>Retained Earnings %</t>
  </si>
  <si>
    <t>Balance Sheet</t>
  </si>
  <si>
    <t>Total Liabilities</t>
  </si>
  <si>
    <t>Net Block of Fixed Assets</t>
  </si>
  <si>
    <t>Total Non Current Assets</t>
  </si>
  <si>
    <t>Other Current Assets</t>
  </si>
  <si>
    <t>Total Current Assets</t>
  </si>
  <si>
    <t>Total Assets</t>
  </si>
  <si>
    <t>Cash Flow Statement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</si>
  <si>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</si>
  <si>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</si>
  <si>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</si>
  <si>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</si>
  <si>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</si>
  <si>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</si>
  <si>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</si>
  <si>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</si>
  <si>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</si>
  <si>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</si>
  <si>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</si>
  <si>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</si>
  <si>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</si>
  <si>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</si>
  <si>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</si>
  <si>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</si>
  <si>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</si>
  <si>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</si>
  <si>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</si>
  <si>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</si>
  <si>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</si>
  <si>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</si>
  <si>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</si>
  <si>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</si>
  <si>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</si>
  <si>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Activities</t>
  </si>
  <si>
    <t>Cash Flow From Operating Activities</t>
  </si>
  <si>
    <t>Investing activities</t>
  </si>
  <si>
    <t>Cash Flow From Investing Activities</t>
  </si>
  <si>
    <t>Financing Activities</t>
  </si>
  <si>
    <t>Cash Flow From Financing Activities</t>
  </si>
  <si>
    <t>Trend</t>
  </si>
  <si>
    <t>Mean</t>
  </si>
  <si>
    <t>Median</t>
  </si>
  <si>
    <t>EBITDA Growth</t>
  </si>
  <si>
    <t>EBIT Growth</t>
  </si>
  <si>
    <t>Net Profit Growth</t>
  </si>
  <si>
    <t>Dividend Growth</t>
  </si>
  <si>
    <t>GrossMargin</t>
  </si>
  <si>
    <t>EBITDA Margin</t>
  </si>
  <si>
    <t>Net Profit Margin</t>
  </si>
  <si>
    <t>EBT Margin</t>
  </si>
  <si>
    <t>Sales Expenses % of Sales</t>
  </si>
  <si>
    <t>Depreciation % of Sales</t>
  </si>
  <si>
    <t>Operating income % of Sales</t>
  </si>
  <si>
    <t>Return on Capital Employed</t>
  </si>
  <si>
    <t>Return on Equity 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</si>
  <si>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</si>
  <si>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</si>
  <si>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</si>
  <si>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</si>
  <si>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</si>
  <si>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Assets Turnover ratio</t>
  </si>
  <si>
    <t>Capital Turnover ratio</t>
  </si>
  <si>
    <t>Debtor days</t>
  </si>
  <si>
    <t>Payable days</t>
  </si>
  <si>
    <t>Inventory days</t>
  </si>
  <si>
    <t>CFO/Total Assets</t>
  </si>
  <si>
    <t>CFO/Debt</t>
  </si>
  <si>
    <t>CFO/Sales</t>
  </si>
  <si>
    <t>Cash conversion days</t>
  </si>
  <si>
    <t>Ratio Analysis -- Asian Paints</t>
  </si>
  <si>
    <t>Asian Paints -- Revenue</t>
  </si>
  <si>
    <t>Years Weight</t>
  </si>
  <si>
    <t>Revenue</t>
  </si>
  <si>
    <t>Asian Paints -- EBITDA</t>
  </si>
  <si>
    <t>Asian Paints -- Net Profit</t>
  </si>
  <si>
    <t xml:space="preserve"> (</t>
  </si>
  <si>
    <t>Insight Summary -- Asian Paints</t>
  </si>
  <si>
    <t>Income Statement Insights</t>
  </si>
  <si>
    <t>Balance Sheet Insights</t>
  </si>
  <si>
    <t>Ratio Analysis Insights</t>
  </si>
  <si>
    <t>"The Company shows strong long term growth and strong financial stability,but increasing working capital intensity is putting pressure on efficiency metrices."</t>
  </si>
  <si>
    <t>Recommendations</t>
  </si>
  <si>
    <r>
      <rPr>
        <b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 shows a</t>
    </r>
    <r>
      <rPr>
        <b/>
        <sz val="11"/>
        <color theme="1"/>
        <rFont val="Calibri"/>
        <family val="2"/>
        <scheme val="minor"/>
      </rPr>
      <t xml:space="preserve"> long term growth trend</t>
    </r>
    <r>
      <rPr>
        <sz val="11"/>
        <color theme="1"/>
        <rFont val="Calibri"/>
        <family val="2"/>
        <scheme val="minor"/>
      </rPr>
      <t xml:space="preserve">, though certain years </t>
    </r>
    <r>
      <rPr>
        <b/>
        <sz val="11"/>
        <color theme="1"/>
        <rFont val="Calibri"/>
        <family val="2"/>
        <scheme val="minor"/>
      </rPr>
      <t>display volitality (2021-22,24-25)</t>
    </r>
    <r>
      <rPr>
        <sz val="11"/>
        <color theme="1"/>
        <rFont val="Calibri"/>
        <family val="2"/>
        <scheme val="minor"/>
      </rPr>
      <t xml:space="preserve"> due to demand cycles and raw materials price fluctuations.</t>
    </r>
  </si>
  <si>
    <r>
      <rPr>
        <b/>
        <sz val="11"/>
        <color theme="1"/>
        <rFont val="Calibri"/>
        <family val="2"/>
        <scheme val="minor"/>
      </rPr>
      <t>EBITDA has expand over year</t>
    </r>
    <r>
      <rPr>
        <sz val="11"/>
        <color theme="1"/>
        <rFont val="Calibri"/>
        <family val="2"/>
        <scheme val="minor"/>
      </rPr>
      <t>s indicating strong operating performance and efficient core business operations.</t>
    </r>
  </si>
  <si>
    <r>
      <rPr>
        <b/>
        <sz val="11"/>
        <color theme="1"/>
        <rFont val="Calibri"/>
        <family val="2"/>
        <scheme val="minor"/>
      </rPr>
      <t>Most income statement items decline in FY25,</t>
    </r>
    <r>
      <rPr>
        <sz val="11"/>
        <color theme="1"/>
        <rFont val="Calibri"/>
        <family val="2"/>
        <scheme val="minor"/>
      </rPr>
      <t xml:space="preserve"> sugggesting short term margin pressure or slowdown in demand.</t>
    </r>
  </si>
  <si>
    <r>
      <rPr>
        <b/>
        <sz val="11"/>
        <color theme="1"/>
        <rFont val="Calibri"/>
        <family val="2"/>
        <scheme val="minor"/>
      </rPr>
      <t xml:space="preserve">EPS has consistently increased </t>
    </r>
    <r>
      <rPr>
        <sz val="11"/>
        <color theme="1"/>
        <rFont val="Calibri"/>
        <family val="2"/>
        <scheme val="minor"/>
      </rPr>
      <t xml:space="preserve">reflecting steady earnings growth for shareholders </t>
    </r>
    <r>
      <rPr>
        <b/>
        <sz val="11"/>
        <color theme="1"/>
        <rFont val="Calibri"/>
        <family val="2"/>
        <scheme val="minor"/>
      </rPr>
      <t xml:space="preserve">while Dividend per share also in increasing trend </t>
    </r>
    <r>
      <rPr>
        <sz val="11"/>
        <color theme="1"/>
        <rFont val="Calibri"/>
        <family val="2"/>
        <scheme val="minor"/>
      </rPr>
      <t>indicating stable cash flows and a mature dividend policy.</t>
    </r>
  </si>
  <si>
    <r>
      <rPr>
        <b/>
        <sz val="11"/>
        <color theme="1"/>
        <rFont val="Calibri"/>
        <family val="2"/>
        <scheme val="minor"/>
      </rPr>
      <t xml:space="preserve">Investments increased significantly around FY21, </t>
    </r>
    <r>
      <rPr>
        <sz val="11"/>
        <color theme="1"/>
        <rFont val="Calibri"/>
        <family val="2"/>
        <scheme val="minor"/>
      </rPr>
      <t>suggesting capital allocation towards strategic initiatives or expansion.</t>
    </r>
  </si>
  <si>
    <r>
      <rPr>
        <b/>
        <sz val="11"/>
        <color theme="1"/>
        <rFont val="Calibri"/>
        <family val="2"/>
        <scheme val="minor"/>
      </rPr>
      <t>Inventory levels have been higher over time</t>
    </r>
    <r>
      <rPr>
        <sz val="11"/>
        <color theme="1"/>
        <rFont val="Calibri"/>
        <family val="2"/>
        <scheme val="minor"/>
      </rPr>
      <t xml:space="preserve"> suggesting higher working capital requirements.</t>
    </r>
  </si>
  <si>
    <r>
      <rPr>
        <b/>
        <sz val="11"/>
        <color theme="1"/>
        <rFont val="Calibri"/>
        <family val="2"/>
        <scheme val="minor"/>
      </rPr>
      <t>The company maintains very low Leverage,</t>
    </r>
    <r>
      <rPr>
        <sz val="11"/>
        <color theme="1"/>
        <rFont val="Calibri"/>
        <family val="2"/>
        <scheme val="minor"/>
      </rPr>
      <t xml:space="preserve"> reflecting a conservative capital structure and strong financial stability.</t>
    </r>
  </si>
  <si>
    <r>
      <rPr>
        <b/>
        <sz val="11"/>
        <color theme="1"/>
        <rFont val="Calibri"/>
        <family val="2"/>
        <scheme val="minor"/>
      </rPr>
      <t xml:space="preserve">Interest coverage ratio remains extremely high, </t>
    </r>
    <r>
      <rPr>
        <sz val="11"/>
        <color theme="1"/>
        <rFont val="Calibri"/>
        <family val="2"/>
        <scheme val="minor"/>
      </rPr>
      <t>indicating minimal risk in meeting interest obligations.</t>
    </r>
  </si>
  <si>
    <r>
      <rPr>
        <b/>
        <sz val="11"/>
        <color theme="1"/>
        <rFont val="Calibri"/>
        <family val="2"/>
        <scheme val="minor"/>
      </rPr>
      <t>ROCE shows a gradual decline,</t>
    </r>
    <r>
      <rPr>
        <sz val="11"/>
        <color theme="1"/>
        <rFont val="Calibri"/>
        <family val="2"/>
        <scheme val="minor"/>
      </rPr>
      <t xml:space="preserve"> suggesting capital employed is increasing faster than operating profits.</t>
    </r>
  </si>
  <si>
    <r>
      <rPr>
        <b/>
        <sz val="11"/>
        <color theme="1"/>
        <rFont val="Calibri"/>
        <family val="2"/>
        <scheme val="minor"/>
      </rPr>
      <t xml:space="preserve">Despite the ROCE  decline, ROE remains strong </t>
    </r>
    <r>
      <rPr>
        <sz val="11"/>
        <color theme="1"/>
        <rFont val="Calibri"/>
        <family val="2"/>
        <scheme val="minor"/>
      </rPr>
      <t>reflect attractive returns for shareholders.</t>
    </r>
  </si>
  <si>
    <r>
      <rPr>
        <b/>
        <sz val="11"/>
        <color theme="1"/>
        <rFont val="Calibri"/>
        <family val="2"/>
        <scheme val="minor"/>
      </rPr>
      <t>Debtors days are gradually increasing</t>
    </r>
    <r>
      <rPr>
        <sz val="11"/>
        <color theme="1"/>
        <rFont val="Calibri"/>
        <family val="2"/>
        <scheme val="minor"/>
      </rPr>
      <t>, suggesting slightly slower recievables collections.</t>
    </r>
  </si>
  <si>
    <r>
      <rPr>
        <b/>
        <sz val="11"/>
        <color theme="1"/>
        <rFont val="Calibri"/>
        <family val="2"/>
        <scheme val="minor"/>
      </rPr>
      <t xml:space="preserve">Inventroy days are also increasing </t>
    </r>
    <r>
      <rPr>
        <sz val="11"/>
        <color theme="1"/>
        <rFont val="Calibri"/>
        <family val="2"/>
        <scheme val="minor"/>
      </rPr>
      <t>which reflects more capital being tied up in inventory.</t>
    </r>
  </si>
  <si>
    <r>
      <t xml:space="preserve">With </t>
    </r>
    <r>
      <rPr>
        <b/>
        <sz val="11"/>
        <color theme="1"/>
        <rFont val="Calibri"/>
        <family val="2"/>
        <scheme val="minor"/>
      </rPr>
      <t>payable days remaining relatively stable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the cash conversion cycle is increasing</t>
    </r>
    <r>
      <rPr>
        <sz val="11"/>
        <color theme="1"/>
        <rFont val="Calibri"/>
        <family val="2"/>
        <scheme val="minor"/>
      </rPr>
      <t xml:space="preserve"> that suggests a decline in working capital requirements.</t>
    </r>
  </si>
  <si>
    <r>
      <rPr>
        <b/>
        <sz val="11"/>
        <color theme="1"/>
        <rFont val="Calibri"/>
        <family val="2"/>
        <scheme val="minor"/>
      </rPr>
      <t>Strengthen working capital controls</t>
    </r>
    <r>
      <rPr>
        <sz val="11"/>
        <color theme="1"/>
        <rFont val="Calibri"/>
        <family val="2"/>
        <scheme val="minor"/>
      </rPr>
      <t xml:space="preserve"> to improve the increasing cash conversion cycle.</t>
    </r>
  </si>
  <si>
    <r>
      <rPr>
        <b/>
        <sz val="11"/>
        <color theme="1"/>
        <rFont val="Calibri"/>
        <family val="2"/>
        <scheme val="minor"/>
      </rPr>
      <t xml:space="preserve">Focus on higher returns from new investments </t>
    </r>
    <r>
      <rPr>
        <sz val="11"/>
        <color theme="1"/>
        <rFont val="Calibri"/>
        <family val="2"/>
        <scheme val="minor"/>
      </rPr>
      <t>to stabilize the declining ROCE.</t>
    </r>
  </si>
  <si>
    <r>
      <rPr>
        <b/>
        <sz val="11"/>
        <color theme="1"/>
        <rFont val="Calibri"/>
        <family val="2"/>
        <scheme val="minor"/>
      </rPr>
      <t xml:space="preserve">Enhance cost efficiency o protect margins </t>
    </r>
    <r>
      <rPr>
        <sz val="11"/>
        <color theme="1"/>
        <rFont val="Calibri"/>
        <family val="2"/>
        <scheme val="minor"/>
      </rPr>
      <t>during raw material price volatitlity.</t>
    </r>
  </si>
  <si>
    <r>
      <rPr>
        <b/>
        <sz val="11"/>
        <color theme="1"/>
        <rFont val="Calibri"/>
        <family val="2"/>
        <scheme val="minor"/>
      </rPr>
      <t>Improve recievable collection efficiency</t>
    </r>
    <r>
      <rPr>
        <sz val="11"/>
        <color theme="1"/>
        <rFont val="Calibri"/>
        <family val="2"/>
        <scheme val="minor"/>
      </rPr>
      <t xml:space="preserve"> to reduce rising debtor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</si>
</sst>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"/>
    <numFmt numFmtId="167" formatCode="0.00\x"/>
    <numFmt numFmtId="168" formatCode="0.00\ &quot;days&quot;"/>
    <numFmt numFmtId="169" formatCode="yyyy\A"/>
    <numFmt numFmtId="170" formatCode="yyyy\E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DBE4F0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0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1" fillId="6" borderId="0" xfId="0" applyFont="1" applyFill="1" applyAlignment="1">
      <alignment horizontal="left"/>
    </xf>
    <xf numFmtId="17" fontId="1" fillId="6" borderId="0" xfId="0" applyNumberFormat="1" applyFont="1" applyFill="1" applyAlignment="1">
      <alignment horizontal="right" vertical="center"/>
    </xf>
    <xf numFmtId="0" fontId="1" fillId="6" borderId="0" xfId="0" applyFont="1" applyFill="1" applyAlignment="1">
      <alignment horizontal="right" vertical="center"/>
    </xf>
    <xf numFmtId="0" fontId="1" fillId="7" borderId="0" xfId="0" applyFont="1" applyFill="1"/>
    <xf numFmtId="166" fontId="0" fillId="0" borderId="0" xfId="0" applyNumberFormat="1"/>
    <xf numFmtId="10" fontId="0" fillId="0" borderId="0" xfId="6" applyNumberFormat="1" applyFont="1"/>
    <xf numFmtId="0" fontId="8" fillId="0" borderId="0" xfId="0" applyFont="1"/>
    <xf numFmtId="10" fontId="8" fillId="0" borderId="0" xfId="6" applyNumberFormat="1" applyFont="1"/>
    <xf numFmtId="0" fontId="1" fillId="0" borderId="1" xfId="0" applyFont="1" applyBorder="1"/>
    <xf numFmtId="166" fontId="1" fillId="0" borderId="1" xfId="0" applyNumberFormat="1" applyFont="1" applyBorder="1"/>
    <xf numFmtId="0" fontId="8" fillId="0" borderId="0" xfId="0" applyFont="1" applyAlignment="1">
      <alignment horizontal="right"/>
    </xf>
    <xf numFmtId="0" fontId="0" fillId="7" borderId="0" xfId="0" applyFill="1"/>
    <xf numFmtId="17" fontId="9" fillId="8" borderId="0" xfId="0" applyNumberFormat="1" applyFont="1" applyFill="1" applyAlignment="1">
      <alignment horizontal="right" vertical="center" wrapText="1"/>
    </xf>
    <xf numFmtId="0" fontId="10" fillId="9" borderId="2" xfId="0" applyFont="1" applyFill="1" applyBorder="1" applyAlignment="1">
      <alignment horizontal="left" vertical="center" indent="1"/>
    </xf>
    <xf numFmtId="3" fontId="10" fillId="9" borderId="2" xfId="0" applyNumberFormat="1" applyFont="1" applyFill="1" applyBorder="1" applyAlignment="1">
      <alignment horizontal="right" vertical="center" wrapText="1"/>
    </xf>
    <xf numFmtId="0" fontId="10" fillId="9" borderId="2" xfId="0" applyFont="1" applyFill="1" applyBorder="1" applyAlignment="1">
      <alignment horizontal="right" vertical="center" wrapText="1"/>
    </xf>
    <xf numFmtId="0" fontId="10" fillId="9" borderId="2" xfId="0" applyFont="1" applyFill="1" applyBorder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right" vertical="center" wrapText="1"/>
    </xf>
    <xf numFmtId="3" fontId="12" fillId="9" borderId="0" xfId="0" applyNumberFormat="1" applyFont="1" applyFill="1" applyAlignment="1">
      <alignment horizontal="right" vertical="center" wrapText="1"/>
    </xf>
    <xf numFmtId="0" fontId="10" fillId="8" borderId="2" xfId="0" applyFont="1" applyFill="1" applyBorder="1" applyAlignment="1">
      <alignment horizontal="left" vertical="center" indent="1"/>
    </xf>
    <xf numFmtId="0" fontId="10" fillId="8" borderId="2" xfId="0" applyFont="1" applyFill="1" applyBorder="1" applyAlignment="1">
      <alignment horizontal="right" vertical="center" wrapText="1"/>
    </xf>
    <xf numFmtId="3" fontId="10" fillId="8" borderId="2" xfId="0" applyNumberFormat="1" applyFont="1" applyFill="1" applyBorder="1" applyAlignment="1">
      <alignment horizontal="right" vertical="center" wrapText="1"/>
    </xf>
    <xf numFmtId="0" fontId="12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right" vertical="center" wrapText="1"/>
    </xf>
    <xf numFmtId="3" fontId="12" fillId="8" borderId="0" xfId="0" applyNumberFormat="1" applyFont="1" applyFill="1" applyAlignment="1">
      <alignment horizontal="right" vertical="center" wrapText="1"/>
    </xf>
    <xf numFmtId="164" fontId="0" fillId="0" borderId="0" xfId="0" applyNumberFormat="1"/>
    <xf numFmtId="164" fontId="1" fillId="0" borderId="1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17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0" fillId="0" borderId="4" xfId="0" applyBorder="1"/>
    <xf numFmtId="10" fontId="0" fillId="0" borderId="4" xfId="6" applyNumberFormat="1" applyFont="1" applyBorder="1" applyAlignment="1">
      <alignment horizontal="right"/>
    </xf>
    <xf numFmtId="10" fontId="0" fillId="0" borderId="4" xfId="0" applyNumberFormat="1" applyBorder="1"/>
    <xf numFmtId="0" fontId="0" fillId="0" borderId="0" xfId="0" applyAlignment="1">
      <alignment horizontal="right"/>
    </xf>
    <xf numFmtId="10" fontId="0" fillId="0" borderId="0" xfId="6" applyNumberFormat="1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10" fontId="0" fillId="0" borderId="5" xfId="6" applyNumberFormat="1" applyFont="1" applyBorder="1" applyAlignment="1">
      <alignment horizontal="right"/>
    </xf>
    <xf numFmtId="10" fontId="0" fillId="0" borderId="5" xfId="0" applyNumberFormat="1" applyBorder="1"/>
    <xf numFmtId="0" fontId="1" fillId="10" borderId="0" xfId="0" applyFont="1" applyFill="1" applyAlignment="1">
      <alignment horizontal="left"/>
    </xf>
    <xf numFmtId="17" fontId="1" fillId="10" borderId="0" xfId="0" applyNumberFormat="1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0" fillId="10" borderId="0" xfId="0" applyFill="1"/>
    <xf numFmtId="10" fontId="0" fillId="0" borderId="4" xfId="6" applyNumberFormat="1" applyFont="1" applyBorder="1"/>
    <xf numFmtId="167" fontId="0" fillId="0" borderId="5" xfId="0" applyNumberFormat="1" applyBorder="1"/>
    <xf numFmtId="167" fontId="0" fillId="0" borderId="4" xfId="0" applyNumberFormat="1" applyBorder="1"/>
    <xf numFmtId="167" fontId="0" fillId="0" borderId="0" xfId="0" applyNumberFormat="1"/>
    <xf numFmtId="168" fontId="0" fillId="0" borderId="4" xfId="0" applyNumberFormat="1" applyBorder="1"/>
    <xf numFmtId="168" fontId="0" fillId="0" borderId="0" xfId="0" applyNumberFormat="1"/>
    <xf numFmtId="168" fontId="0" fillId="0" borderId="5" xfId="0" applyNumberFormat="1" applyBorder="1"/>
    <xf numFmtId="0" fontId="0" fillId="0" borderId="0" xfId="0" applyAlignment="1">
      <alignment horizontal="center"/>
    </xf>
    <xf numFmtId="0" fontId="14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0" fillId="6" borderId="0" xfId="0" applyFill="1"/>
    <xf numFmtId="0" fontId="1" fillId="6" borderId="0" xfId="0" applyFont="1" applyFill="1"/>
    <xf numFmtId="0" fontId="15" fillId="6" borderId="0" xfId="0" applyFont="1" applyFill="1"/>
    <xf numFmtId="0" fontId="0" fillId="6" borderId="0" xfId="0" applyFill="1" applyAlignment="1">
      <alignment horizontal="right" vertical="center"/>
    </xf>
    <xf numFmtId="0" fontId="16" fillId="6" borderId="6" xfId="0" applyFont="1" applyFill="1" applyBorder="1"/>
    <xf numFmtId="0" fontId="17" fillId="6" borderId="0" xfId="0" applyFont="1" applyFill="1"/>
    <xf numFmtId="0" fontId="1" fillId="6" borderId="7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0" fontId="0" fillId="0" borderId="7" xfId="6" applyNumberFormat="1" applyFon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0" fontId="1" fillId="6" borderId="11" xfId="0" applyFont="1" applyFill="1" applyBorder="1" applyAlignment="1">
      <alignment horizontal="left"/>
    </xf>
    <xf numFmtId="0" fontId="1" fillId="6" borderId="12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12" xfId="6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70" fontId="0" fillId="0" borderId="14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0" fontId="0" fillId="0" borderId="15" xfId="6" applyNumberFormat="1" applyFont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10" fontId="0" fillId="0" borderId="14" xfId="6" applyNumberFormat="1" applyFont="1" applyBorder="1" applyAlignment="1">
      <alignment horizontal="center"/>
    </xf>
    <xf numFmtId="0" fontId="0" fillId="6" borderId="0" xfId="0" applyFill="1"/>
    <xf numFmtId="0" fontId="15" fillId="6" borderId="0" xfId="0" applyFont="1" applyFill="1"/>
    <xf numFmtId="0" fontId="16" fillId="6" borderId="6" xfId="0" applyFont="1" applyFill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371476</xdr:colOff>
      <xdr:row>7</xdr:row>
      <xdr:rowOff>176213</xdr:rowOff>
    </xdr:from>
    <xdr:to>
      <xdr:col>0</xdr:col>
      <xdr:colOff>585787</xdr:colOff>
      <xdr:row>9</xdr:row>
      <xdr:rowOff>23812</xdr:rowOff>
    </xdr:to>
    <xdr:pic>
      <xdr:nvPicPr>
        <xdr:cNvPr id="3" name="Graphic 2" descr="Target with solid fill">
          <a:extLst>
            <a:ext uri="{FF2B5EF4-FFF2-40B4-BE49-F238E27FC236}">
              <a16:creationId xmlns:a16="http://schemas.microsoft.com/office/drawing/2014/main" id="{CE58FDF1-B608-CE32-71AF-4BDC84BED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1524001"/>
          <a:ext cx="214311" cy="214311"/>
        </a:xfrm>
        <a:prstGeom prst="rect">
          <a:avLst/>
        </a:prstGeom>
      </xdr:spPr>
    </xdr:pic>
    <xdr:clientData/>
  </xdr:twoCellAnchor>
  <xdr:oneCellAnchor>
    <xdr:from>
      <xdr:col>0</xdr:col>
      <xdr:colOff>371476</xdr:colOff>
      <xdr:row>19</xdr:row>
      <xdr:rowOff>176213</xdr:rowOff>
    </xdr:from>
    <xdr:ext cx="214311" cy="214311"/>
    <xdr:pic>
      <xdr:nvPicPr>
        <xdr:cNvPr id="9" name="Graphic 8" descr="Target with solid fill">
          <a:extLst>
            <a:ext uri="{FF2B5EF4-FFF2-40B4-BE49-F238E27FC236}">
              <a16:creationId xmlns:a16="http://schemas.microsoft.com/office/drawing/2014/main" id="{34084C87-EF83-4B26-A5FA-EE6FF01E9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170497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9</xdr:row>
      <xdr:rowOff>176213</xdr:rowOff>
    </xdr:from>
    <xdr:ext cx="214311" cy="214311"/>
    <xdr:pic>
      <xdr:nvPicPr>
        <xdr:cNvPr id="11" name="Graphic 10" descr="Target with solid fill">
          <a:extLst>
            <a:ext uri="{FF2B5EF4-FFF2-40B4-BE49-F238E27FC236}">
              <a16:creationId xmlns:a16="http://schemas.microsoft.com/office/drawing/2014/main" id="{8CFA8783-5373-40EE-9D66-BDC3C522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170497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10</xdr:row>
      <xdr:rowOff>0</xdr:rowOff>
    </xdr:from>
    <xdr:ext cx="214311" cy="214311"/>
    <xdr:pic>
      <xdr:nvPicPr>
        <xdr:cNvPr id="13" name="Graphic 12" descr="Target with solid fill">
          <a:extLst>
            <a:ext uri="{FF2B5EF4-FFF2-40B4-BE49-F238E27FC236}">
              <a16:creationId xmlns:a16="http://schemas.microsoft.com/office/drawing/2014/main" id="{B9CE20D9-F2E8-49C1-976F-2C8D050AC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170497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11</xdr:row>
      <xdr:rowOff>176213</xdr:rowOff>
    </xdr:from>
    <xdr:ext cx="214311" cy="214311"/>
    <xdr:pic>
      <xdr:nvPicPr>
        <xdr:cNvPr id="15" name="Graphic 14" descr="Target with solid fill">
          <a:extLst>
            <a:ext uri="{FF2B5EF4-FFF2-40B4-BE49-F238E27FC236}">
              <a16:creationId xmlns:a16="http://schemas.microsoft.com/office/drawing/2014/main" id="{C21691D3-5E6A-469A-910C-0DAF967B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170497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13</xdr:row>
      <xdr:rowOff>176213</xdr:rowOff>
    </xdr:from>
    <xdr:ext cx="214311" cy="214311"/>
    <xdr:pic>
      <xdr:nvPicPr>
        <xdr:cNvPr id="17" name="Graphic 16" descr="Target with solid fill">
          <a:extLst>
            <a:ext uri="{FF2B5EF4-FFF2-40B4-BE49-F238E27FC236}">
              <a16:creationId xmlns:a16="http://schemas.microsoft.com/office/drawing/2014/main" id="{0F58D8CF-7770-4E7F-9613-FC34D56BD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170497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21</xdr:row>
      <xdr:rowOff>176213</xdr:rowOff>
    </xdr:from>
    <xdr:ext cx="214311" cy="214311"/>
    <xdr:pic>
      <xdr:nvPicPr>
        <xdr:cNvPr id="18" name="Graphic 17" descr="Target with solid fill">
          <a:extLst>
            <a:ext uri="{FF2B5EF4-FFF2-40B4-BE49-F238E27FC236}">
              <a16:creationId xmlns:a16="http://schemas.microsoft.com/office/drawing/2014/main" id="{9BCCB666-8D1C-436B-98C4-446664E0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429577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23</xdr:row>
      <xdr:rowOff>176213</xdr:rowOff>
    </xdr:from>
    <xdr:ext cx="214311" cy="214311"/>
    <xdr:pic>
      <xdr:nvPicPr>
        <xdr:cNvPr id="19" name="Graphic 18" descr="Target with solid fill">
          <a:extLst>
            <a:ext uri="{FF2B5EF4-FFF2-40B4-BE49-F238E27FC236}">
              <a16:creationId xmlns:a16="http://schemas.microsoft.com/office/drawing/2014/main" id="{0119AB72-0879-4C65-91A3-88463CE83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4662488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28</xdr:row>
      <xdr:rowOff>176213</xdr:rowOff>
    </xdr:from>
    <xdr:ext cx="214311" cy="214311"/>
    <xdr:pic>
      <xdr:nvPicPr>
        <xdr:cNvPr id="21" name="Graphic 20" descr="Target with solid fill">
          <a:extLst>
            <a:ext uri="{FF2B5EF4-FFF2-40B4-BE49-F238E27FC236}">
              <a16:creationId xmlns:a16="http://schemas.microsoft.com/office/drawing/2014/main" id="{D80DEE8A-D3AC-4663-BF9A-D07A001A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429577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30</xdr:row>
      <xdr:rowOff>176213</xdr:rowOff>
    </xdr:from>
    <xdr:ext cx="214311" cy="214311"/>
    <xdr:pic>
      <xdr:nvPicPr>
        <xdr:cNvPr id="22" name="Graphic 21" descr="Target with solid fill">
          <a:extLst>
            <a:ext uri="{FF2B5EF4-FFF2-40B4-BE49-F238E27FC236}">
              <a16:creationId xmlns:a16="http://schemas.microsoft.com/office/drawing/2014/main" id="{DBEF0445-6A94-4010-9776-3C74E1F7F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616267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32</xdr:row>
      <xdr:rowOff>176213</xdr:rowOff>
    </xdr:from>
    <xdr:ext cx="214311" cy="214311"/>
    <xdr:pic>
      <xdr:nvPicPr>
        <xdr:cNvPr id="24" name="Graphic 23" descr="Target with solid fill">
          <a:extLst>
            <a:ext uri="{FF2B5EF4-FFF2-40B4-BE49-F238E27FC236}">
              <a16:creationId xmlns:a16="http://schemas.microsoft.com/office/drawing/2014/main" id="{16276AAE-AE2D-4F1D-96AA-A0A337AC9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6529388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34</xdr:row>
      <xdr:rowOff>176213</xdr:rowOff>
    </xdr:from>
    <xdr:ext cx="214311" cy="214311"/>
    <xdr:pic>
      <xdr:nvPicPr>
        <xdr:cNvPr id="25" name="Graphic 24" descr="Target with solid fill">
          <a:extLst>
            <a:ext uri="{FF2B5EF4-FFF2-40B4-BE49-F238E27FC236}">
              <a16:creationId xmlns:a16="http://schemas.microsoft.com/office/drawing/2014/main" id="{9A5DE4F1-0C53-4109-83FC-E414D09F0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6891338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36</xdr:row>
      <xdr:rowOff>176213</xdr:rowOff>
    </xdr:from>
    <xdr:ext cx="214311" cy="214311"/>
    <xdr:pic>
      <xdr:nvPicPr>
        <xdr:cNvPr id="26" name="Graphic 25" descr="Target with solid fill">
          <a:extLst>
            <a:ext uri="{FF2B5EF4-FFF2-40B4-BE49-F238E27FC236}">
              <a16:creationId xmlns:a16="http://schemas.microsoft.com/office/drawing/2014/main" id="{50CA9378-2B38-464F-9D97-B18658910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7253288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38</xdr:row>
      <xdr:rowOff>176213</xdr:rowOff>
    </xdr:from>
    <xdr:ext cx="214311" cy="214311"/>
    <xdr:pic>
      <xdr:nvPicPr>
        <xdr:cNvPr id="27" name="Graphic 26" descr="Target with solid fill">
          <a:extLst>
            <a:ext uri="{FF2B5EF4-FFF2-40B4-BE49-F238E27FC236}">
              <a16:creationId xmlns:a16="http://schemas.microsoft.com/office/drawing/2014/main" id="{530AAE1B-608C-4D9D-9967-E14AE9349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7536440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43</xdr:row>
      <xdr:rowOff>176213</xdr:rowOff>
    </xdr:from>
    <xdr:ext cx="214311" cy="214311"/>
    <xdr:pic>
      <xdr:nvPicPr>
        <xdr:cNvPr id="28" name="Graphic 27" descr="Target with solid fill">
          <a:extLst>
            <a:ext uri="{FF2B5EF4-FFF2-40B4-BE49-F238E27FC236}">
              <a16:creationId xmlns:a16="http://schemas.microsoft.com/office/drawing/2014/main" id="{0EA15621-B4C0-4438-8E57-60169B2A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7536440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45</xdr:row>
      <xdr:rowOff>176213</xdr:rowOff>
    </xdr:from>
    <xdr:ext cx="214311" cy="214311"/>
    <xdr:pic>
      <xdr:nvPicPr>
        <xdr:cNvPr id="29" name="Graphic 28" descr="Target with solid fill">
          <a:extLst>
            <a:ext uri="{FF2B5EF4-FFF2-40B4-BE49-F238E27FC236}">
              <a16:creationId xmlns:a16="http://schemas.microsoft.com/office/drawing/2014/main" id="{1AADCB78-FD6B-4B70-8B1F-701D667D4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8478116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47</xdr:row>
      <xdr:rowOff>176213</xdr:rowOff>
    </xdr:from>
    <xdr:ext cx="214311" cy="214311"/>
    <xdr:pic>
      <xdr:nvPicPr>
        <xdr:cNvPr id="30" name="Graphic 29" descr="Target with solid fill">
          <a:extLst>
            <a:ext uri="{FF2B5EF4-FFF2-40B4-BE49-F238E27FC236}">
              <a16:creationId xmlns:a16="http://schemas.microsoft.com/office/drawing/2014/main" id="{D408328F-A783-4E2D-BB55-8AD6285D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8835304"/>
          <a:ext cx="214311" cy="214311"/>
        </a:xfrm>
        <a:prstGeom prst="rect">
          <a:avLst/>
        </a:prstGeom>
      </xdr:spPr>
    </xdr:pic>
    <xdr:clientData/>
  </xdr:oneCellAnchor>
  <xdr:oneCellAnchor>
    <xdr:from>
      <xdr:col>0</xdr:col>
      <xdr:colOff>371476</xdr:colOff>
      <xdr:row>49</xdr:row>
      <xdr:rowOff>176213</xdr:rowOff>
    </xdr:from>
    <xdr:ext cx="214311" cy="214311"/>
    <xdr:pic>
      <xdr:nvPicPr>
        <xdr:cNvPr id="31" name="Graphic 30" descr="Target with solid fill">
          <a:extLst>
            <a:ext uri="{FF2B5EF4-FFF2-40B4-BE49-F238E27FC236}">
              <a16:creationId xmlns:a16="http://schemas.microsoft.com/office/drawing/2014/main" id="{D9538E4D-7347-435B-B356-27913B60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1476" y="9192491"/>
          <a:ext cx="214311" cy="214311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96875" defaultRowHeight="14.25" x14ac:dyDescent="0.45"/>
  <cols>
    <col min="1" max="1" width="20.6640625" customWidth="1"/>
    <col min="2" max="6" width="13.46484375" customWidth="1"/>
    <col min="7" max="7" width="14.796875" bestFit="1" customWidth="1"/>
    <col min="8" max="11" width="13.46484375" customWidth="1"/>
    <col min="12" max="12" width="13.33203125" customWidth="1"/>
    <col min="13" max="14" width="12.1328125" customWidth="1"/>
  </cols>
  <sheetData>
    <row r="1" spans="1:14" s="2" customFormat="1" x14ac:dyDescent="0.45">
      <c r="A1" s="2" t="str">
        <f>'Data Sheet (Input)'!B1</f>
        <v>ASIAN PAINTS LTD</v>
      </c>
      <c r="H1" t="str">
        <f>UPDATE</f>
        <v/>
      </c>
      <c r="J1" s="3"/>
      <c r="K1" s="3"/>
      <c r="M1" s="2" t="s">
        <v>1</v>
      </c>
    </row>
    <row r="3" spans="1:14" s="2" customFormat="1" x14ac:dyDescent="0.45">
      <c r="A3" s="11" t="s">
        <v>2</v>
      </c>
      <c r="B3" s="12">
        <f>'Data Sheet (Input)'!B16</f>
        <v>42460</v>
      </c>
      <c r="C3" s="12">
        <f>'Data Sheet (Input)'!C16</f>
        <v>42825</v>
      </c>
      <c r="D3" s="12">
        <f>'Data Sheet (Input)'!D16</f>
        <v>43190</v>
      </c>
      <c r="E3" s="12">
        <f>'Data Sheet (Input)'!E16</f>
        <v>43555</v>
      </c>
      <c r="F3" s="12">
        <f>'Data Sheet (Input)'!F16</f>
        <v>43921</v>
      </c>
      <c r="G3" s="12">
        <f>'Data Sheet (Input)'!G16</f>
        <v>44286</v>
      </c>
      <c r="H3" s="12">
        <f>'Data Sheet (Input)'!H16</f>
        <v>44651</v>
      </c>
      <c r="I3" s="12">
        <f>'Data Sheet (Input)'!I16</f>
        <v>45016</v>
      </c>
      <c r="J3" s="12">
        <f>'Data Sheet (Input)'!J16</f>
        <v>45382</v>
      </c>
      <c r="K3" s="12">
        <f>'Data Sheet (Input)'!K16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45">
      <c r="A4" s="2" t="s">
        <v>6</v>
      </c>
      <c r="B4" s="1">
        <f>'Data Sheet (Input)'!B17</f>
        <v>14271.49</v>
      </c>
      <c r="C4" s="1">
        <f>'Data Sheet (Input)'!C17</f>
        <v>15061.99</v>
      </c>
      <c r="D4" s="1">
        <f>'Data Sheet (Input)'!D17</f>
        <v>16824.55</v>
      </c>
      <c r="E4" s="1">
        <f>'Data Sheet (Input)'!E17</f>
        <v>19240.13</v>
      </c>
      <c r="F4" s="1">
        <f>'Data Sheet (Input)'!F17</f>
        <v>20211.25</v>
      </c>
      <c r="G4" s="1">
        <f>'Data Sheet (Input)'!G17</f>
        <v>21712.79</v>
      </c>
      <c r="H4" s="1">
        <f>'Data Sheet (Input)'!H17</f>
        <v>29101.279999999999</v>
      </c>
      <c r="I4" s="1">
        <f>'Data Sheet (Input)'!I17</f>
        <v>34488.589999999997</v>
      </c>
      <c r="J4" s="1">
        <f>'Data Sheet (Input)'!J17</f>
        <v>35494.730000000003</v>
      </c>
      <c r="K4" s="1">
        <f>'Data Sheet (Input)'!K17</f>
        <v>33905.620000000003</v>
      </c>
      <c r="L4" s="1">
        <f>SUM('Quarters (Input)'!H4:K4)</f>
        <v>34695.75</v>
      </c>
      <c r="M4" s="1">
        <f>$K4+M23*K4</f>
        <v>35677.265195093263</v>
      </c>
      <c r="N4" s="1">
        <f>$K4+N23*L4</f>
        <v>34714.163036449412</v>
      </c>
    </row>
    <row r="5" spans="1:14" x14ac:dyDescent="0.45">
      <c r="A5" t="s">
        <v>7</v>
      </c>
      <c r="B5" s="6">
        <f>SUM('Data Sheet (Input)'!B18,'Data Sheet (Input)'!B20:B24, -1*'Data Sheet (Input)'!B19)</f>
        <v>11546.449999999997</v>
      </c>
      <c r="C5" s="6">
        <f>SUM('Data Sheet (Input)'!C18,'Data Sheet (Input)'!C20:C24, -1*'Data Sheet (Input)'!C19)</f>
        <v>12068.23</v>
      </c>
      <c r="D5" s="6">
        <f>SUM('Data Sheet (Input)'!D18,'Data Sheet (Input)'!D20:D24, -1*'Data Sheet (Input)'!D19)</f>
        <v>13620.539999999999</v>
      </c>
      <c r="E5" s="6">
        <f>SUM('Data Sheet (Input)'!E18,'Data Sheet (Input)'!E20:E24, -1*'Data Sheet (Input)'!E19)</f>
        <v>15475.189999999999</v>
      </c>
      <c r="F5" s="6">
        <f>SUM('Data Sheet (Input)'!F18,'Data Sheet (Input)'!F20:F24, -1*'Data Sheet (Input)'!F19)</f>
        <v>16049.480000000003</v>
      </c>
      <c r="G5" s="6">
        <f>SUM('Data Sheet (Input)'!G18,'Data Sheet (Input)'!G20:G24, -1*'Data Sheet (Input)'!G19)</f>
        <v>16857.189999999999</v>
      </c>
      <c r="H5" s="6">
        <f>SUM('Data Sheet (Input)'!H18,'Data Sheet (Input)'!H20:H24, -1*'Data Sheet (Input)'!H19)</f>
        <v>24297.67</v>
      </c>
      <c r="I5" s="6">
        <f>SUM('Data Sheet (Input)'!I18,'Data Sheet (Input)'!I20:I24, -1*'Data Sheet (Input)'!I19)</f>
        <v>28228.75</v>
      </c>
      <c r="J5" s="6">
        <f>SUM('Data Sheet (Input)'!J18,'Data Sheet (Input)'!J20:J24, -1*'Data Sheet (Input)'!J19)</f>
        <v>27909.750000000004</v>
      </c>
      <c r="K5" s="6">
        <f>SUM('Data Sheet (Input)'!K18,'Data Sheet (Input)'!K20:K24, -1*'Data Sheet (Input)'!K19)</f>
        <v>27899.41</v>
      </c>
      <c r="L5" s="6">
        <f>SUM('Quarters (Input)'!H5:K5)</f>
        <v>21264.18</v>
      </c>
      <c r="M5" s="6">
        <f t="shared" ref="M5:N5" si="0">M4-M6</f>
        <v>28860.076939002171</v>
      </c>
      <c r="N5" s="6">
        <f t="shared" si="0"/>
        <v>28365.285473940457</v>
      </c>
    </row>
    <row r="6" spans="1:14" s="2" customFormat="1" x14ac:dyDescent="0.45">
      <c r="A6" s="2" t="s">
        <v>8</v>
      </c>
      <c r="B6" s="1">
        <f>B4-B5</f>
        <v>2725.0400000000027</v>
      </c>
      <c r="C6" s="1">
        <f t="shared" ref="C6:K6" si="1">C4-C5</f>
        <v>2993.76</v>
      </c>
      <c r="D6" s="1">
        <f t="shared" si="1"/>
        <v>3204.01</v>
      </c>
      <c r="E6" s="1">
        <f t="shared" si="1"/>
        <v>3764.9400000000023</v>
      </c>
      <c r="F6" s="1">
        <f t="shared" si="1"/>
        <v>4161.7699999999968</v>
      </c>
      <c r="G6" s="1">
        <f t="shared" si="1"/>
        <v>4855.6000000000022</v>
      </c>
      <c r="H6" s="1">
        <f t="shared" si="1"/>
        <v>4803.6100000000006</v>
      </c>
      <c r="I6" s="1">
        <f t="shared" si="1"/>
        <v>6259.8399999999965</v>
      </c>
      <c r="J6" s="1">
        <f t="shared" si="1"/>
        <v>7584.98</v>
      </c>
      <c r="K6" s="1">
        <f t="shared" si="1"/>
        <v>6006.2100000000028</v>
      </c>
      <c r="L6" s="1">
        <f>SUM('Quarters (Input)'!H6:K6)</f>
        <v>6345.51</v>
      </c>
      <c r="M6" s="1">
        <f>M4*M24</f>
        <v>6817.1882560910926</v>
      </c>
      <c r="N6" s="1">
        <f>N4*N24</f>
        <v>6348.8775625089556</v>
      </c>
    </row>
    <row r="7" spans="1:14" x14ac:dyDescent="0.45">
      <c r="A7" t="s">
        <v>9</v>
      </c>
      <c r="B7" s="6">
        <f>'Data Sheet (Input)'!B25</f>
        <v>213.39</v>
      </c>
      <c r="C7" s="6">
        <f>'Data Sheet (Input)'!C25</f>
        <v>337.9</v>
      </c>
      <c r="D7" s="6">
        <f>'Data Sheet (Input)'!D25</f>
        <v>336.41</v>
      </c>
      <c r="E7" s="6">
        <f>'Data Sheet (Input)'!E25</f>
        <v>273.77</v>
      </c>
      <c r="F7" s="6">
        <f>'Data Sheet (Input)'!F25</f>
        <v>350.1</v>
      </c>
      <c r="G7" s="6">
        <f>'Data Sheet (Input)'!G25</f>
        <v>331.65</v>
      </c>
      <c r="H7" s="6">
        <f>'Data Sheet (Input)'!H25</f>
        <v>295.88</v>
      </c>
      <c r="I7" s="6">
        <f>'Data Sheet (Input)'!I25</f>
        <v>431.46</v>
      </c>
      <c r="J7" s="6">
        <f>'Data Sheet (Input)'!J25</f>
        <v>820.96</v>
      </c>
      <c r="K7" s="6">
        <f>'Data Sheet (Input)'!K25</f>
        <v>350.22</v>
      </c>
      <c r="L7" s="6">
        <f>SUM('Quarters (Input)'!H7:K7)</f>
        <v>475.13</v>
      </c>
      <c r="M7" s="6">
        <v>0</v>
      </c>
      <c r="N7" s="6">
        <v>0</v>
      </c>
    </row>
    <row r="8" spans="1:14" x14ac:dyDescent="0.45">
      <c r="A8" t="s">
        <v>10</v>
      </c>
      <c r="B8" s="6">
        <f>'Data Sheet (Input)'!B26</f>
        <v>275.58</v>
      </c>
      <c r="C8" s="6">
        <f>'Data Sheet (Input)'!C26</f>
        <v>334.79</v>
      </c>
      <c r="D8" s="6">
        <f>'Data Sheet (Input)'!D26</f>
        <v>360.47</v>
      </c>
      <c r="E8" s="6">
        <f>'Data Sheet (Input)'!E26</f>
        <v>622.14</v>
      </c>
      <c r="F8" s="6">
        <f>'Data Sheet (Input)'!F26</f>
        <v>780.5</v>
      </c>
      <c r="G8" s="6">
        <f>'Data Sheet (Input)'!G26</f>
        <v>791.27</v>
      </c>
      <c r="H8" s="6">
        <f>'Data Sheet (Input)'!H26</f>
        <v>816.36</v>
      </c>
      <c r="I8" s="6">
        <f>'Data Sheet (Input)'!I26</f>
        <v>858.02</v>
      </c>
      <c r="J8" s="6">
        <f>'Data Sheet (Input)'!J26</f>
        <v>853</v>
      </c>
      <c r="K8" s="6">
        <f>'Data Sheet (Input)'!K26</f>
        <v>1026.3399999999999</v>
      </c>
      <c r="L8" s="6">
        <f>SUM('Quarters (Input)'!H8:K8)</f>
        <v>1219.97</v>
      </c>
      <c r="M8" s="6">
        <f>+$L8</f>
        <v>1219.97</v>
      </c>
      <c r="N8" s="6">
        <f>+$L8</f>
        <v>1219.97</v>
      </c>
    </row>
    <row r="9" spans="1:14" x14ac:dyDescent="0.45">
      <c r="A9" t="s">
        <v>11</v>
      </c>
      <c r="B9" s="6">
        <f>'Data Sheet (Input)'!B27</f>
        <v>49</v>
      </c>
      <c r="C9" s="6">
        <f>'Data Sheet (Input)'!C27</f>
        <v>37.33</v>
      </c>
      <c r="D9" s="6">
        <f>'Data Sheet (Input)'!D27</f>
        <v>41.47</v>
      </c>
      <c r="E9" s="6">
        <f>'Data Sheet (Input)'!E27</f>
        <v>110.47</v>
      </c>
      <c r="F9" s="6">
        <f>'Data Sheet (Input)'!F27</f>
        <v>102.33</v>
      </c>
      <c r="G9" s="6">
        <f>'Data Sheet (Input)'!G27</f>
        <v>91.63</v>
      </c>
      <c r="H9" s="6">
        <f>'Data Sheet (Input)'!H27</f>
        <v>95.41</v>
      </c>
      <c r="I9" s="6">
        <f>'Data Sheet (Input)'!I27</f>
        <v>144.44999999999999</v>
      </c>
      <c r="J9" s="6">
        <f>'Data Sheet (Input)'!J27</f>
        <v>205.17</v>
      </c>
      <c r="K9" s="6">
        <f>'Data Sheet (Input)'!K27</f>
        <v>227.02</v>
      </c>
      <c r="L9" s="6">
        <f>SUM('Quarters (Input)'!H9:K9)</f>
        <v>189.1</v>
      </c>
      <c r="M9" s="6">
        <f>+$L9</f>
        <v>189.1</v>
      </c>
      <c r="N9" s="6">
        <f>+$L9</f>
        <v>189.1</v>
      </c>
    </row>
    <row r="10" spans="1:14" x14ac:dyDescent="0.45">
      <c r="A10" t="s">
        <v>12</v>
      </c>
      <c r="B10" s="6">
        <f>'Data Sheet (Input)'!B28</f>
        <v>2613.85</v>
      </c>
      <c r="C10" s="6">
        <f>'Data Sheet (Input)'!C28</f>
        <v>2959.54</v>
      </c>
      <c r="D10" s="6">
        <f>'Data Sheet (Input)'!D28</f>
        <v>3138.48</v>
      </c>
      <c r="E10" s="6">
        <f>'Data Sheet (Input)'!E28</f>
        <v>3306.1</v>
      </c>
      <c r="F10" s="6">
        <f>'Data Sheet (Input)'!F28</f>
        <v>3629.04</v>
      </c>
      <c r="G10" s="6">
        <f>'Data Sheet (Input)'!G28</f>
        <v>4304.3500000000004</v>
      </c>
      <c r="H10" s="6">
        <f>'Data Sheet (Input)'!H28</f>
        <v>4187.72</v>
      </c>
      <c r="I10" s="6">
        <f>'Data Sheet (Input)'!I28</f>
        <v>5688.83</v>
      </c>
      <c r="J10" s="6">
        <f>'Data Sheet (Input)'!J28</f>
        <v>7347.77</v>
      </c>
      <c r="K10" s="6">
        <f>'Data Sheet (Input)'!K28</f>
        <v>5103.07</v>
      </c>
      <c r="L10" s="6">
        <f>SUM('Quarters (Input)'!H10:K10)</f>
        <v>5411.57</v>
      </c>
      <c r="M10" s="6">
        <f>M6+M7-SUM(M8:M9)</f>
        <v>5408.1182560910929</v>
      </c>
      <c r="N10" s="6">
        <f>N6+N7-SUM(N8:N9)</f>
        <v>4939.8075625089559</v>
      </c>
    </row>
    <row r="11" spans="1:14" x14ac:dyDescent="0.45">
      <c r="A11" t="s">
        <v>13</v>
      </c>
      <c r="B11" s="6">
        <f>'Data Sheet (Input)'!B29</f>
        <v>844.49</v>
      </c>
      <c r="C11" s="6">
        <f>'Data Sheet (Input)'!C29</f>
        <v>943.29</v>
      </c>
      <c r="D11" s="6">
        <f>'Data Sheet (Input)'!D29</f>
        <v>1040.96</v>
      </c>
      <c r="E11" s="6">
        <f>'Data Sheet (Input)'!E29</f>
        <v>1098.06</v>
      </c>
      <c r="F11" s="6">
        <f>'Data Sheet (Input)'!F29</f>
        <v>854.85</v>
      </c>
      <c r="G11" s="6">
        <f>'Data Sheet (Input)'!G29</f>
        <v>1097.5999999999999</v>
      </c>
      <c r="H11" s="6">
        <f>'Data Sheet (Input)'!H29</f>
        <v>1102.9100000000001</v>
      </c>
      <c r="I11" s="6">
        <f>'Data Sheet (Input)'!I29</f>
        <v>1493.5</v>
      </c>
      <c r="J11" s="6">
        <f>'Data Sheet (Input)'!J29</f>
        <v>1790.08</v>
      </c>
      <c r="K11" s="6">
        <f>'Data Sheet (Input)'!K29</f>
        <v>1393.36</v>
      </c>
      <c r="L11" s="6">
        <f>SUM('Quarters (Input)'!H11:K11)</f>
        <v>1501.5400000000002</v>
      </c>
      <c r="M11" s="7">
        <f>IF($L10&gt;0,$L11/$L10,0)</f>
        <v>0.27746846109354589</v>
      </c>
      <c r="N11" s="7">
        <f>IF($L10&gt;0,$L11/$L10,0)</f>
        <v>0.27746846109354589</v>
      </c>
    </row>
    <row r="12" spans="1:14" s="2" customFormat="1" x14ac:dyDescent="0.45">
      <c r="A12" s="2" t="s">
        <v>14</v>
      </c>
      <c r="B12" s="1">
        <f>'Data Sheet (Input)'!B30</f>
        <v>1745.16</v>
      </c>
      <c r="C12" s="1">
        <f>'Data Sheet (Input)'!C30</f>
        <v>1939.43</v>
      </c>
      <c r="D12" s="1">
        <f>'Data Sheet (Input)'!D30</f>
        <v>2038.93</v>
      </c>
      <c r="E12" s="1">
        <f>'Data Sheet (Input)'!E30</f>
        <v>2155.92</v>
      </c>
      <c r="F12" s="1">
        <f>'Data Sheet (Input)'!F30</f>
        <v>2705.17</v>
      </c>
      <c r="G12" s="1">
        <f>'Data Sheet (Input)'!G30</f>
        <v>3139.29</v>
      </c>
      <c r="H12" s="1">
        <f>'Data Sheet (Input)'!H30</f>
        <v>3030.57</v>
      </c>
      <c r="I12" s="1">
        <f>'Data Sheet (Input)'!I30</f>
        <v>4106.45</v>
      </c>
      <c r="J12" s="1">
        <f>'Data Sheet (Input)'!J30</f>
        <v>5460.23</v>
      </c>
      <c r="K12" s="1">
        <f>'Data Sheet (Input)'!K30</f>
        <v>3667.23</v>
      </c>
      <c r="L12" s="1">
        <f>SUM('Quarters (Input)'!H12:K12)</f>
        <v>3845.36</v>
      </c>
      <c r="M12" s="1">
        <f>M10-M11*M10</f>
        <v>3907.5360061615866</v>
      </c>
      <c r="N12" s="1">
        <f>N10-N11*N10</f>
        <v>3569.1667600413357</v>
      </c>
    </row>
    <row r="13" spans="1:14" x14ac:dyDescent="0.45">
      <c r="A13" t="s">
        <v>48</v>
      </c>
      <c r="B13" s="6">
        <f>IF('Data Sheet (Input)'!B93&gt;0,B12/'Data Sheet (Input)'!B93,0)</f>
        <v>18.193911592994162</v>
      </c>
      <c r="C13" s="6">
        <f>IF('Data Sheet (Input)'!C93&gt;0,C12/'Data Sheet (Input)'!C93,0)</f>
        <v>20.219245204336946</v>
      </c>
      <c r="D13" s="6">
        <f>IF('Data Sheet (Input)'!D93&gt;0,D12/'Data Sheet (Input)'!D93,0)</f>
        <v>21.256567973311093</v>
      </c>
      <c r="E13" s="6">
        <f>IF('Data Sheet (Input)'!E93&gt;0,E12/'Data Sheet (Input)'!E93,0)</f>
        <v>22.476230191826524</v>
      </c>
      <c r="F13" s="6">
        <f>IF('Data Sheet (Input)'!F93&gt;0,F12/'Data Sheet (Input)'!F93,0)</f>
        <v>28.202356130108424</v>
      </c>
      <c r="G13" s="6">
        <f>IF('Data Sheet (Input)'!G93&gt;0,G12/'Data Sheet (Input)'!G93,0)</f>
        <v>32.728211009174309</v>
      </c>
      <c r="H13" s="6">
        <f>IF('Data Sheet (Input)'!H93&gt;0,H12/'Data Sheet (Input)'!H93,0)</f>
        <v>31.594766472060051</v>
      </c>
      <c r="I13" s="6">
        <f>IF('Data Sheet (Input)'!I93&gt;0,I12/'Data Sheet (Input)'!I93,0)</f>
        <v>42.811196830692239</v>
      </c>
      <c r="J13" s="6">
        <f>IF('Data Sheet (Input)'!J93&gt;0,J12/'Data Sheet (Input)'!J93,0)</f>
        <v>56.924833194328599</v>
      </c>
      <c r="K13" s="6">
        <f>IF('Data Sheet (Input)'!K93&gt;0,K12/'Data Sheet (Input)'!K93,0)</f>
        <v>38.232172643869895</v>
      </c>
      <c r="L13" s="6">
        <f>IF('Data Sheet (Input)'!$B6&gt;0,'Profit &amp; Loss (Input)'!L12/'Data Sheet (Input)'!$B6,0)</f>
        <v>40.089325714719173</v>
      </c>
      <c r="M13" s="6">
        <f>IF('Data Sheet (Input)'!$B6&gt;0,'Profit &amp; Loss (Input)'!M12/'Data Sheet (Input)'!$B6,0)</f>
        <v>40.737533987196194</v>
      </c>
      <c r="N13" s="6">
        <f>IF('Data Sheet (Input)'!$B6&gt;0,'Profit &amp; Loss (Input)'!N12/'Data Sheet (Input)'!$B6,0)</f>
        <v>37.209907205943274</v>
      </c>
    </row>
    <row r="14" spans="1:14" x14ac:dyDescent="0.45">
      <c r="A14" t="s">
        <v>16</v>
      </c>
      <c r="B14" s="6">
        <f>IF(B15&gt;0,B15/B13,"")</f>
        <v>47.730252813495611</v>
      </c>
      <c r="C14" s="6">
        <f t="shared" ref="C14:K14" si="2">IF(C15&gt;0,C15/C13,"")</f>
        <v>53.092980927385881</v>
      </c>
      <c r="D14" s="6">
        <f t="shared" si="2"/>
        <v>52.708414707714347</v>
      </c>
      <c r="E14" s="6">
        <f t="shared" si="2"/>
        <v>66.41238264870681</v>
      </c>
      <c r="F14" s="6">
        <f t="shared" si="2"/>
        <v>59.090807601740373</v>
      </c>
      <c r="G14" s="6">
        <f t="shared" si="2"/>
        <v>77.529443918847903</v>
      </c>
      <c r="H14" s="6">
        <f t="shared" si="2"/>
        <v>97.482917075005687</v>
      </c>
      <c r="I14" s="6">
        <f t="shared" si="2"/>
        <v>64.507656978655532</v>
      </c>
      <c r="J14" s="6">
        <f t="shared" si="2"/>
        <v>50.00893002675712</v>
      </c>
      <c r="K14" s="6">
        <f t="shared" si="2"/>
        <v>61.221998074841224</v>
      </c>
      <c r="L14" s="6">
        <f t="shared" ref="L14" si="3">IF(L13&gt;0,L15/L13,0)</f>
        <v>55.401281024403431</v>
      </c>
      <c r="M14" s="6">
        <f>M25</f>
        <v>57.784966526164325</v>
      </c>
      <c r="N14" s="6">
        <f>N25</f>
        <v>55.401281024403431</v>
      </c>
    </row>
    <row r="15" spans="1:14" s="2" customFormat="1" x14ac:dyDescent="0.45">
      <c r="A15" s="2" t="s">
        <v>49</v>
      </c>
      <c r="B15" s="1">
        <f>'Data Sheet (Input)'!B90</f>
        <v>868.4</v>
      </c>
      <c r="C15" s="1">
        <f>'Data Sheet (Input)'!C90</f>
        <v>1073.5</v>
      </c>
      <c r="D15" s="1">
        <f>'Data Sheet (Input)'!D90</f>
        <v>1120.4000000000001</v>
      </c>
      <c r="E15" s="1">
        <f>'Data Sheet (Input)'!E90</f>
        <v>1492.7</v>
      </c>
      <c r="F15" s="1">
        <f>'Data Sheet (Input)'!F90</f>
        <v>1666.5</v>
      </c>
      <c r="G15" s="1">
        <f>'Data Sheet (Input)'!G90</f>
        <v>2537.4</v>
      </c>
      <c r="H15" s="1">
        <f>'Data Sheet (Input)'!H90</f>
        <v>3079.95</v>
      </c>
      <c r="I15" s="1">
        <f>'Data Sheet (Input)'!I90</f>
        <v>2761.65</v>
      </c>
      <c r="J15" s="1">
        <f>'Data Sheet (Input)'!J90</f>
        <v>2846.75</v>
      </c>
      <c r="K15" s="1">
        <f>'Data Sheet (Input)'!K90</f>
        <v>2340.65</v>
      </c>
      <c r="L15" s="1">
        <f>'Data Sheet (Input)'!B8</f>
        <v>2221</v>
      </c>
      <c r="M15" s="8">
        <f>M13*M14</f>
        <v>2354.0170378086136</v>
      </c>
      <c r="N15" s="9">
        <f>N13*N14</f>
        <v>2061.4765260084378</v>
      </c>
    </row>
    <row r="17" spans="1:14" s="2" customFormat="1" x14ac:dyDescent="0.45">
      <c r="A17" s="2" t="s">
        <v>15</v>
      </c>
    </row>
    <row r="18" spans="1:14" x14ac:dyDescent="0.45">
      <c r="A18" t="s">
        <v>17</v>
      </c>
      <c r="B18" s="5">
        <f>IF('Data Sheet (Input)'!B30&gt;0, 'Data Sheet (Input)'!B31/'Data Sheet (Input)'!B30, 0)</f>
        <v>0.41222581310596162</v>
      </c>
      <c r="C18" s="5">
        <f>IF('Data Sheet (Input)'!C30&gt;0, 'Data Sheet (Input)'!C31/'Data Sheet (Input)'!C30, 0)</f>
        <v>0.50941771551435211</v>
      </c>
      <c r="D18" s="5">
        <f>IF('Data Sheet (Input)'!D30&gt;0, 'Data Sheet (Input)'!D31/'Data Sheet (Input)'!D30, 0)</f>
        <v>0.40928330055470269</v>
      </c>
      <c r="E18" s="5">
        <f>IF('Data Sheet (Input)'!E30&gt;0, 'Data Sheet (Input)'!E31/'Data Sheet (Input)'!E30, 0)</f>
        <v>0.46716019147278187</v>
      </c>
      <c r="F18" s="5">
        <f>IF('Data Sheet (Input)'!F30&gt;0, 'Data Sheet (Input)'!F31/'Data Sheet (Input)'!F30, 0)</f>
        <v>0.42549636436896754</v>
      </c>
      <c r="G18" s="5">
        <f>IF('Data Sheet (Input)'!G30&gt;0, 'Data Sheet (Input)'!G31/'Data Sheet (Input)'!G30, 0)</f>
        <v>0.54540039308251231</v>
      </c>
      <c r="H18" s="5">
        <f>IF('Data Sheet (Input)'!H30&gt;0, 'Data Sheet (Input)'!H31/'Data Sheet (Input)'!H30, 0)</f>
        <v>0.6061137013829081</v>
      </c>
      <c r="I18" s="5">
        <f>IF('Data Sheet (Input)'!I30&gt;0, 'Data Sheet (Input)'!I31/'Data Sheet (Input)'!I30, 0)</f>
        <v>0.59914281191783658</v>
      </c>
      <c r="J18" s="5">
        <f>IF('Data Sheet (Input)'!J30&gt;0, 'Data Sheet (Input)'!J31/'Data Sheet (Input)'!J30, 0)</f>
        <v>0.58498268387961683</v>
      </c>
      <c r="K18" s="5">
        <f>IF('Data Sheet (Input)'!K30&gt;0, 'Data Sheet (Input)'!K31/'Data Sheet (Input)'!K30, 0)</f>
        <v>0.64866943169640301</v>
      </c>
    </row>
    <row r="19" spans="1:14" x14ac:dyDescent="0.45">
      <c r="A19" t="s">
        <v>18</v>
      </c>
      <c r="B19" s="5">
        <f t="shared" ref="B19:L19" si="4">IF(B6&gt;0,B6/B4,0)</f>
        <v>0.19094292186730347</v>
      </c>
      <c r="C19" s="5">
        <f t="shared" ref="C19:K19" si="5">IF(C6&gt;0,C6/C4,0)</f>
        <v>0.19876258050895004</v>
      </c>
      <c r="D19" s="5">
        <f t="shared" si="5"/>
        <v>0.19043659414367697</v>
      </c>
      <c r="E19" s="5">
        <f t="shared" si="5"/>
        <v>0.19568163000977656</v>
      </c>
      <c r="F19" s="5">
        <f t="shared" si="5"/>
        <v>0.20591353825221087</v>
      </c>
      <c r="G19" s="5">
        <f t="shared" si="5"/>
        <v>0.22362856178317028</v>
      </c>
      <c r="H19" s="5">
        <f t="shared" si="5"/>
        <v>0.16506524798909192</v>
      </c>
      <c r="I19" s="5">
        <f t="shared" si="5"/>
        <v>0.18150466574597562</v>
      </c>
      <c r="J19" s="5">
        <f t="shared" si="5"/>
        <v>0.21369313134654072</v>
      </c>
      <c r="K19" s="5">
        <f t="shared" si="5"/>
        <v>0.17714496888716391</v>
      </c>
      <c r="L19" s="5">
        <f t="shared" si="4"/>
        <v>0.18289012343010311</v>
      </c>
    </row>
    <row r="20" spans="1:14" x14ac:dyDescent="0.4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4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4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45">
      <c r="A23"/>
      <c r="B23"/>
      <c r="C23"/>
      <c r="D23"/>
      <c r="E23"/>
      <c r="F23"/>
      <c r="G23" t="s">
        <v>22</v>
      </c>
      <c r="H23" s="5">
        <f>IF(B4=0,"",POWER($K4/B4,1/9)-1)</f>
        <v>0.10092014636257685</v>
      </c>
      <c r="I23" s="5">
        <f>IF(D4=0,"",POWER($K4/D4,1/7)-1)</f>
        <v>0.10528801762676121</v>
      </c>
      <c r="J23" s="5">
        <f>IF(F4=0,"",POWER($K4/F4,1/5)-1)</f>
        <v>0.10901061549728808</v>
      </c>
      <c r="K23" s="5">
        <f>IF(H4=0,"",POWER($K4/H4, 1/3)-1)</f>
        <v>5.225225774055331E-2</v>
      </c>
      <c r="L23" s="5">
        <f>IF(ISERROR(MAX(IF(J4=0,"",(K4-J4)/J4),IF(K4=0,"",(L4-K4)/K4))),"",MAX(IF(J4=0,"",(K4-J4)/J4),IF(K4=0,"",(L4-K4)/K4)))</f>
        <v>2.3303806271644564E-2</v>
      </c>
      <c r="M23" s="16">
        <f>MAX(K23:L23)</f>
        <v>5.225225774055331E-2</v>
      </c>
      <c r="N23" s="16">
        <f>MIN(H23:L23)</f>
        <v>2.3303806271644564E-2</v>
      </c>
    </row>
    <row r="24" spans="1:14" x14ac:dyDescent="0.45">
      <c r="G24" t="s">
        <v>18</v>
      </c>
      <c r="H24" s="5">
        <f>IF(SUM(B4:$K$4)=0,"",SUMPRODUCT(B19:$K$19,B4:$K$4)/SUM(B4:$K$4))</f>
        <v>0.19291454016400819</v>
      </c>
      <c r="I24" s="5">
        <f>IF(SUM(E4:$K$4)=0,"",SUMPRODUCT(E19:$K$19,E4:$K$4)/SUM(E4:$K$4))</f>
        <v>0.19282051773333581</v>
      </c>
      <c r="J24" s="5">
        <f>IF(SUM(G4:$K$4)=0,"",SUMPRODUCT(G19:$K$19,G4:$K$4)/SUM(G4:$K$4))</f>
        <v>0.19075414240485689</v>
      </c>
      <c r="K24" s="5">
        <f>IF(SUM(I4:$K$4)=0, "", SUMPRODUCT(I19:$K$19,I4:$K$4)/SUM(I4:$K$4))</f>
        <v>0.1910793391481326</v>
      </c>
      <c r="L24" s="5">
        <f>L19</f>
        <v>0.18289012343010311</v>
      </c>
      <c r="M24" s="16">
        <f>MAX(K24:L24)</f>
        <v>0.1910793391481326</v>
      </c>
      <c r="N24" s="16">
        <f>MIN(H24:L24)</f>
        <v>0.18289012343010311</v>
      </c>
    </row>
    <row r="25" spans="1:14" x14ac:dyDescent="0.45">
      <c r="G25" t="s">
        <v>23</v>
      </c>
      <c r="H25" s="6">
        <f>IF(ISERROR(AVERAGEIF(B14:$L14,"&gt;0")),"",AVERAGEIF(B14:$L14,"&gt;0"))</f>
        <v>62.289733254323089</v>
      </c>
      <c r="I25" s="6">
        <f>IF(ISERROR(AVERAGEIF(E14:$L14,"&gt;0")),"",AVERAGEIF(E14:$L14,"&gt;0"))</f>
        <v>66.456927168619757</v>
      </c>
      <c r="J25" s="6">
        <f>IF(ISERROR(AVERAGEIF(G14:$L14,"&gt;0")),"",AVERAGEIF(G14:$L14,"&gt;0"))</f>
        <v>67.692037849751813</v>
      </c>
      <c r="K25" s="6">
        <f>IF(ISERROR(AVERAGEIF(I14:$L14,"&gt;0")),"",AVERAGEIF(I14:$L14,"&gt;0"))</f>
        <v>57.784966526164325</v>
      </c>
      <c r="L25" s="6">
        <f>L14</f>
        <v>55.401281024403431</v>
      </c>
      <c r="M25" s="1">
        <f>MAX(K25:L25)</f>
        <v>57.784966526164325</v>
      </c>
      <c r="N25" s="1">
        <f>MIN(H25:L25)</f>
        <v>55.401281024403431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1" tint="0.499984740745262"/>
    <pageSetUpPr fitToPage="1"/>
  </sheetPr>
  <dimension ref="A1:K22"/>
  <sheetViews>
    <sheetView zoomScale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A6" sqref="A6"/>
    </sheetView>
  </sheetViews>
  <sheetFormatPr defaultColWidth="8.796875" defaultRowHeight="14.25" x14ac:dyDescent="0.45"/>
  <cols>
    <col min="1" max="1" width="20.6640625" customWidth="1"/>
    <col min="2" max="11" width="13.46484375" bestFit="1" customWidth="1"/>
  </cols>
  <sheetData>
    <row r="1" spans="1:11" s="2" customFormat="1" x14ac:dyDescent="0.45">
      <c r="A1" s="2" t="str">
        <f>'Profit &amp; Loss (Input)'!A1</f>
        <v>ASIAN PAINTS LTD</v>
      </c>
      <c r="E1" t="str">
        <f>UPDATE</f>
        <v/>
      </c>
      <c r="J1" s="2" t="s">
        <v>1</v>
      </c>
    </row>
    <row r="3" spans="1:11" s="2" customFormat="1" x14ac:dyDescent="0.45">
      <c r="A3" s="11" t="s">
        <v>2</v>
      </c>
      <c r="B3" s="12">
        <f>'Data Sheet (Input)'!B41</f>
        <v>45199</v>
      </c>
      <c r="C3" s="12">
        <f>'Data Sheet (Input)'!C41</f>
        <v>45291</v>
      </c>
      <c r="D3" s="12">
        <f>'Data Sheet (Input)'!D41</f>
        <v>45382</v>
      </c>
      <c r="E3" s="12">
        <f>'Data Sheet (Input)'!E41</f>
        <v>45473</v>
      </c>
      <c r="F3" s="12">
        <f>'Data Sheet (Input)'!F41</f>
        <v>45565</v>
      </c>
      <c r="G3" s="12">
        <f>'Data Sheet (Input)'!G41</f>
        <v>45657</v>
      </c>
      <c r="H3" s="12">
        <f>'Data Sheet (Input)'!H41</f>
        <v>45747</v>
      </c>
      <c r="I3" s="12">
        <f>'Data Sheet (Input)'!I41</f>
        <v>45838</v>
      </c>
      <c r="J3" s="12">
        <f>'Data Sheet (Input)'!J41</f>
        <v>45930</v>
      </c>
      <c r="K3" s="12">
        <f>'Data Sheet (Input)'!K41</f>
        <v>46022</v>
      </c>
    </row>
    <row r="4" spans="1:11" s="2" customFormat="1" x14ac:dyDescent="0.45">
      <c r="A4" s="2" t="s">
        <v>6</v>
      </c>
      <c r="B4" s="1">
        <f>'Data Sheet (Input)'!B42</f>
        <v>8478.57</v>
      </c>
      <c r="C4" s="1">
        <f>'Data Sheet (Input)'!C42</f>
        <v>9103.09</v>
      </c>
      <c r="D4" s="1">
        <f>'Data Sheet (Input)'!D42</f>
        <v>8730.76</v>
      </c>
      <c r="E4" s="1">
        <f>'Data Sheet (Input)'!E42</f>
        <v>8969.73</v>
      </c>
      <c r="F4" s="1">
        <f>'Data Sheet (Input)'!F42</f>
        <v>8027.54</v>
      </c>
      <c r="G4" s="1">
        <f>'Data Sheet (Input)'!G42</f>
        <v>8549.44</v>
      </c>
      <c r="H4" s="1">
        <f>'Data Sheet (Input)'!H42</f>
        <v>8358.91</v>
      </c>
      <c r="I4" s="1">
        <f>'Data Sheet (Input)'!I42</f>
        <v>8938.5499999999993</v>
      </c>
      <c r="J4" s="1">
        <f>'Data Sheet (Input)'!J42</f>
        <v>8531.27</v>
      </c>
      <c r="K4" s="1">
        <f>'Data Sheet (Input)'!K42</f>
        <v>8867.02</v>
      </c>
    </row>
    <row r="5" spans="1:11" x14ac:dyDescent="0.45">
      <c r="A5" t="s">
        <v>7</v>
      </c>
      <c r="B5" s="6">
        <f>'Data Sheet (Input)'!B43</f>
        <v>6762.34</v>
      </c>
      <c r="C5" s="6">
        <f>'Data Sheet (Input)'!C43</f>
        <v>7047</v>
      </c>
      <c r="D5" s="6">
        <f>'Data Sheet (Input)'!D43</f>
        <v>7039.39</v>
      </c>
      <c r="E5" s="6">
        <f>'Data Sheet (Input)'!E43</f>
        <v>7275.96</v>
      </c>
      <c r="F5" s="6">
        <f>'Data Sheet (Input)'!F43</f>
        <v>6788.03</v>
      </c>
      <c r="G5" s="6">
        <f>'Data Sheet (Input)'!G43</f>
        <v>6912.71</v>
      </c>
      <c r="H5" s="6">
        <f>'Data Sheet (Input)'!H43</f>
        <v>6922.71</v>
      </c>
      <c r="I5" s="6">
        <f>'Data Sheet (Input)'!I43</f>
        <v>7313.58</v>
      </c>
      <c r="J5" s="6">
        <f>'Data Sheet (Input)'!J43</f>
        <v>7027.89</v>
      </c>
      <c r="K5" s="6" t="s">
        <v>186</v>
      </c>
    </row>
    <row r="6" spans="1:11" s="2" customFormat="1" x14ac:dyDescent="0.45">
      <c r="A6" s="2" t="s">
        <v>8</v>
      </c>
      <c r="B6" s="1">
        <f>'Data Sheet (Input)'!B50</f>
        <v>1716.23</v>
      </c>
      <c r="C6" s="1">
        <f>'Data Sheet (Input)'!C50</f>
        <v>2056.09</v>
      </c>
      <c r="D6" s="1">
        <f>'Data Sheet (Input)'!D50</f>
        <v>1691.37</v>
      </c>
      <c r="E6" s="1">
        <f>'Data Sheet (Input)'!E50</f>
        <v>1693.77</v>
      </c>
      <c r="F6" s="1">
        <f>'Data Sheet (Input)'!F50</f>
        <v>1239.51</v>
      </c>
      <c r="G6" s="1">
        <f>'Data Sheet (Input)'!G50</f>
        <v>1636.73</v>
      </c>
      <c r="H6" s="1">
        <f>'Data Sheet (Input)'!H50</f>
        <v>1436.2</v>
      </c>
      <c r="I6" s="1">
        <f>'Data Sheet (Input)'!I50</f>
        <v>1624.97</v>
      </c>
      <c r="J6" s="1">
        <f>'Data Sheet (Input)'!J50</f>
        <v>1503.38</v>
      </c>
      <c r="K6" s="1">
        <f>'Data Sheet (Input)'!K50</f>
        <v>1780.96</v>
      </c>
    </row>
    <row r="7" spans="1:11" x14ac:dyDescent="0.45">
      <c r="A7" t="s">
        <v>9</v>
      </c>
      <c r="B7" s="6">
        <f>'Data Sheet (Input)'!B44</f>
        <v>194.33</v>
      </c>
      <c r="C7" s="6">
        <f>'Data Sheet (Input)'!C44</f>
        <v>186.46</v>
      </c>
      <c r="D7" s="6">
        <f>'Data Sheet (Input)'!D44</f>
        <v>212.43</v>
      </c>
      <c r="E7" s="6">
        <f>'Data Sheet (Input)'!E44</f>
        <v>192.93</v>
      </c>
      <c r="F7" s="6">
        <f>'Data Sheet (Input)'!F44</f>
        <v>24.53</v>
      </c>
      <c r="G7" s="6">
        <f>'Data Sheet (Input)'!G44</f>
        <v>192.82</v>
      </c>
      <c r="H7" s="6">
        <f>'Data Sheet (Input)'!H44</f>
        <v>-60.06</v>
      </c>
      <c r="I7" s="6">
        <f>'Data Sheet (Input)'!I44</f>
        <v>229.11</v>
      </c>
      <c r="J7" s="6">
        <f>'Data Sheet (Input)'!J44</f>
        <v>236.94</v>
      </c>
      <c r="K7" s="6">
        <f>'Data Sheet (Input)'!K44</f>
        <v>69.14</v>
      </c>
    </row>
    <row r="8" spans="1:11" x14ac:dyDescent="0.45">
      <c r="A8" t="s">
        <v>10</v>
      </c>
      <c r="B8" s="6">
        <f>'Data Sheet (Input)'!B45</f>
        <v>208.72</v>
      </c>
      <c r="C8" s="6">
        <f>'Data Sheet (Input)'!C45</f>
        <v>220.35</v>
      </c>
      <c r="D8" s="6">
        <f>'Data Sheet (Input)'!D45</f>
        <v>225.61</v>
      </c>
      <c r="E8" s="6">
        <f>'Data Sheet (Input)'!E45</f>
        <v>227.7</v>
      </c>
      <c r="F8" s="6">
        <f>'Data Sheet (Input)'!F45</f>
        <v>241.99</v>
      </c>
      <c r="G8" s="6">
        <f>'Data Sheet (Input)'!G45</f>
        <v>255.55</v>
      </c>
      <c r="H8" s="6">
        <f>'Data Sheet (Input)'!H45</f>
        <v>301.10000000000002</v>
      </c>
      <c r="I8" s="6">
        <f>'Data Sheet (Input)'!I45</f>
        <v>300.87</v>
      </c>
      <c r="J8" s="6">
        <f>'Data Sheet (Input)'!J45</f>
        <v>304.93</v>
      </c>
      <c r="K8" s="6">
        <f>'Data Sheet (Input)'!K45</f>
        <v>313.07</v>
      </c>
    </row>
    <row r="9" spans="1:11" x14ac:dyDescent="0.45">
      <c r="A9" t="s">
        <v>11</v>
      </c>
      <c r="B9" s="6">
        <f>'Data Sheet (Input)'!B46</f>
        <v>50.9</v>
      </c>
      <c r="C9" s="6">
        <f>'Data Sheet (Input)'!C46</f>
        <v>54.42</v>
      </c>
      <c r="D9" s="6">
        <f>'Data Sheet (Input)'!D46</f>
        <v>54.1</v>
      </c>
      <c r="E9" s="6">
        <f>'Data Sheet (Input)'!E46</f>
        <v>55.38</v>
      </c>
      <c r="F9" s="6">
        <f>'Data Sheet (Input)'!F46</f>
        <v>63.01</v>
      </c>
      <c r="G9" s="6">
        <f>'Data Sheet (Input)'!G46</f>
        <v>55.84</v>
      </c>
      <c r="H9" s="6">
        <f>'Data Sheet (Input)'!H46</f>
        <v>52.79</v>
      </c>
      <c r="I9" s="6">
        <f>'Data Sheet (Input)'!I46</f>
        <v>44.5</v>
      </c>
      <c r="J9" s="6">
        <f>'Data Sheet (Input)'!J46</f>
        <v>43.87</v>
      </c>
      <c r="K9" s="6">
        <f>'Data Sheet (Input)'!K46</f>
        <v>47.94</v>
      </c>
    </row>
    <row r="10" spans="1:11" x14ac:dyDescent="0.45">
      <c r="A10" t="s">
        <v>12</v>
      </c>
      <c r="B10" s="6">
        <f>'Data Sheet (Input)'!B47</f>
        <v>1650.94</v>
      </c>
      <c r="C10" s="6">
        <f>'Data Sheet (Input)'!C47</f>
        <v>1967.78</v>
      </c>
      <c r="D10" s="6">
        <f>'Data Sheet (Input)'!D47</f>
        <v>1624.09</v>
      </c>
      <c r="E10" s="6">
        <f>'Data Sheet (Input)'!E47</f>
        <v>1603.62</v>
      </c>
      <c r="F10" s="6">
        <f>'Data Sheet (Input)'!F47</f>
        <v>959.04</v>
      </c>
      <c r="G10" s="6">
        <f>'Data Sheet (Input)'!G47</f>
        <v>1518.16</v>
      </c>
      <c r="H10" s="6">
        <f>'Data Sheet (Input)'!H47</f>
        <v>1022.25</v>
      </c>
      <c r="I10" s="6">
        <f>'Data Sheet (Input)'!I47</f>
        <v>1508.71</v>
      </c>
      <c r="J10" s="6">
        <f>'Data Sheet (Input)'!J47</f>
        <v>1391.52</v>
      </c>
      <c r="K10" s="6">
        <f>'Data Sheet (Input)'!K47</f>
        <v>1489.09</v>
      </c>
    </row>
    <row r="11" spans="1:11" x14ac:dyDescent="0.45">
      <c r="A11" t="s">
        <v>13</v>
      </c>
      <c r="B11" s="6">
        <f>'Data Sheet (Input)'!B48</f>
        <v>418.55</v>
      </c>
      <c r="C11" s="6">
        <f>'Data Sheet (Input)'!C48</f>
        <v>492.62</v>
      </c>
      <c r="D11" s="6">
        <f>'Data Sheet (Input)'!D48</f>
        <v>348.79</v>
      </c>
      <c r="E11" s="6">
        <f>'Data Sheet (Input)'!E48</f>
        <v>416.83</v>
      </c>
      <c r="F11" s="6">
        <f>'Data Sheet (Input)'!F48</f>
        <v>265.38</v>
      </c>
      <c r="G11" s="6">
        <f>'Data Sheet (Input)'!G48</f>
        <v>389.73</v>
      </c>
      <c r="H11" s="6">
        <f>'Data Sheet (Input)'!H48</f>
        <v>321.42</v>
      </c>
      <c r="I11" s="6">
        <f>'Data Sheet (Input)'!I48</f>
        <v>391.66</v>
      </c>
      <c r="J11" s="6">
        <f>'Data Sheet (Input)'!J48</f>
        <v>373.29</v>
      </c>
      <c r="K11" s="6">
        <f>'Data Sheet (Input)'!K48</f>
        <v>415.17</v>
      </c>
    </row>
    <row r="12" spans="1:11" s="2" customFormat="1" x14ac:dyDescent="0.45">
      <c r="A12" s="2" t="s">
        <v>14</v>
      </c>
      <c r="B12" s="1">
        <f>'Data Sheet (Input)'!B49</f>
        <v>1205.42</v>
      </c>
      <c r="C12" s="1">
        <f>'Data Sheet (Input)'!C49</f>
        <v>1447.72</v>
      </c>
      <c r="D12" s="1">
        <f>'Data Sheet (Input)'!D49</f>
        <v>1256.72</v>
      </c>
      <c r="E12" s="1">
        <f>'Data Sheet (Input)'!E49</f>
        <v>1169.98</v>
      </c>
      <c r="F12" s="1">
        <f>'Data Sheet (Input)'!F49</f>
        <v>694.64</v>
      </c>
      <c r="G12" s="1">
        <f>'Data Sheet (Input)'!G49</f>
        <v>1110.48</v>
      </c>
      <c r="H12" s="1">
        <f>'Data Sheet (Input)'!H49</f>
        <v>692.13</v>
      </c>
      <c r="I12" s="1">
        <f>'Data Sheet (Input)'!I49</f>
        <v>1099.77</v>
      </c>
      <c r="J12" s="1">
        <f>'Data Sheet (Input)'!J49</f>
        <v>993.59</v>
      </c>
      <c r="K12" s="1">
        <f>'Data Sheet (Input)'!K49</f>
        <v>1059.8699999999999</v>
      </c>
    </row>
    <row r="14" spans="1:11" s="2" customFormat="1" x14ac:dyDescent="0.45">
      <c r="A14" s="2" t="s">
        <v>18</v>
      </c>
      <c r="B14" s="10">
        <f>IF(B4&gt;0,B6/B4,"")</f>
        <v>0.20241974766971318</v>
      </c>
      <c r="C14" s="10">
        <f t="shared" ref="C14:K14" si="0">IF(C4&gt;0,C6/C4,"")</f>
        <v>0.22586726045771272</v>
      </c>
      <c r="D14" s="10">
        <f t="shared" si="0"/>
        <v>0.19372540305769484</v>
      </c>
      <c r="E14" s="10">
        <f t="shared" si="0"/>
        <v>0.18883177085597894</v>
      </c>
      <c r="F14" s="10">
        <f t="shared" si="0"/>
        <v>0.15440720320297377</v>
      </c>
      <c r="G14" s="10">
        <f t="shared" si="0"/>
        <v>0.19144294831006475</v>
      </c>
      <c r="H14" s="10">
        <f t="shared" si="0"/>
        <v>0.17181666030618825</v>
      </c>
      <c r="I14" s="10">
        <f t="shared" si="0"/>
        <v>0.18179346762058726</v>
      </c>
      <c r="J14" s="10">
        <f t="shared" si="0"/>
        <v>0.17621995318399253</v>
      </c>
      <c r="K14" s="10">
        <f t="shared" si="0"/>
        <v>0.20085214649341041</v>
      </c>
    </row>
    <row r="22" s="19" customFormat="1" x14ac:dyDescent="0.4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1" tint="0.499984740745262"/>
    <pageSetUpPr fitToPage="1"/>
  </sheetPr>
  <dimension ref="A1:K24"/>
  <sheetViews>
    <sheetView zoomScale="125" workbookViewId="0">
      <pane xSplit="1" ySplit="3" topLeftCell="E5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96875" defaultRowHeight="14.25" x14ac:dyDescent="0.45"/>
  <cols>
    <col min="1" max="1" width="22.796875" bestFit="1" customWidth="1"/>
    <col min="2" max="2" width="13.46484375" customWidth="1"/>
    <col min="3" max="11" width="15.46484375" customWidth="1"/>
  </cols>
  <sheetData>
    <row r="1" spans="1:11" s="2" customFormat="1" x14ac:dyDescent="0.45">
      <c r="A1" s="2" t="str">
        <f>'Profit &amp; Loss (Input)'!A1</f>
        <v>ASIAN PAINTS LTD</v>
      </c>
      <c r="E1" t="str">
        <f>UPDATE</f>
        <v/>
      </c>
      <c r="G1"/>
      <c r="J1" s="2" t="s">
        <v>1</v>
      </c>
    </row>
    <row r="2" spans="1:11" x14ac:dyDescent="0.45">
      <c r="G2" s="2"/>
      <c r="H2" s="2"/>
    </row>
    <row r="3" spans="1:11" x14ac:dyDescent="0.45">
      <c r="A3" s="11" t="s">
        <v>2</v>
      </c>
      <c r="B3" s="12">
        <f>'Data Sheet (Input)'!B56</f>
        <v>42460</v>
      </c>
      <c r="C3" s="12">
        <f>'Data Sheet (Input)'!C56</f>
        <v>42825</v>
      </c>
      <c r="D3" s="12">
        <f>'Data Sheet (Input)'!D56</f>
        <v>43190</v>
      </c>
      <c r="E3" s="12">
        <f>'Data Sheet (Input)'!E56</f>
        <v>43555</v>
      </c>
      <c r="F3" s="12">
        <f>'Data Sheet (Input)'!F56</f>
        <v>43921</v>
      </c>
      <c r="G3" s="12">
        <f>'Data Sheet (Input)'!G56</f>
        <v>44286</v>
      </c>
      <c r="H3" s="12">
        <f>'Data Sheet (Input)'!H56</f>
        <v>44651</v>
      </c>
      <c r="I3" s="12">
        <f>'Data Sheet (Input)'!I56</f>
        <v>45016</v>
      </c>
      <c r="J3" s="12">
        <f>'Data Sheet (Input)'!J56</f>
        <v>45382</v>
      </c>
      <c r="K3" s="12">
        <f>'Data Sheet (Input)'!K56</f>
        <v>45747</v>
      </c>
    </row>
    <row r="4" spans="1:11" x14ac:dyDescent="0.45">
      <c r="A4" t="s">
        <v>24</v>
      </c>
      <c r="B4" s="14">
        <f>'Data Sheet (Input)'!B57</f>
        <v>95.92</v>
      </c>
      <c r="C4" s="14">
        <f>'Data Sheet (Input)'!C57</f>
        <v>95.92</v>
      </c>
      <c r="D4" s="14">
        <f>'Data Sheet (Input)'!D57</f>
        <v>95.92</v>
      </c>
      <c r="E4" s="14">
        <f>'Data Sheet (Input)'!E57</f>
        <v>95.92</v>
      </c>
      <c r="F4" s="14">
        <f>'Data Sheet (Input)'!F57</f>
        <v>95.92</v>
      </c>
      <c r="G4" s="14">
        <f>'Data Sheet (Input)'!G57</f>
        <v>95.92</v>
      </c>
      <c r="H4" s="14">
        <f>'Data Sheet (Input)'!H57</f>
        <v>95.92</v>
      </c>
      <c r="I4" s="14">
        <f>'Data Sheet (Input)'!I57</f>
        <v>95.92</v>
      </c>
      <c r="J4" s="14">
        <f>'Data Sheet (Input)'!J57</f>
        <v>95.92</v>
      </c>
      <c r="K4" s="14">
        <f>'Data Sheet (Input)'!K57</f>
        <v>95.92</v>
      </c>
    </row>
    <row r="5" spans="1:11" x14ac:dyDescent="0.45">
      <c r="A5" t="s">
        <v>25</v>
      </c>
      <c r="B5" s="14">
        <f>'Data Sheet (Input)'!B58</f>
        <v>6428.9</v>
      </c>
      <c r="C5" s="14">
        <f>'Data Sheet (Input)'!C58</f>
        <v>7507.97</v>
      </c>
      <c r="D5" s="14">
        <f>'Data Sheet (Input)'!D58</f>
        <v>8314.31</v>
      </c>
      <c r="E5" s="14">
        <f>'Data Sheet (Input)'!E58</f>
        <v>9374.6299999999992</v>
      </c>
      <c r="F5" s="14">
        <f>'Data Sheet (Input)'!F58</f>
        <v>10034.24</v>
      </c>
      <c r="G5" s="14">
        <f>'Data Sheet (Input)'!G58</f>
        <v>12710.37</v>
      </c>
      <c r="H5" s="14">
        <f>'Data Sheet (Input)'!H58</f>
        <v>13715.64</v>
      </c>
      <c r="I5" s="14">
        <f>'Data Sheet (Input)'!I58</f>
        <v>15896.31</v>
      </c>
      <c r="J5" s="14">
        <f>'Data Sheet (Input)'!J58</f>
        <v>18632.38</v>
      </c>
      <c r="K5" s="14">
        <f>'Data Sheet (Input)'!K58</f>
        <v>19303.89</v>
      </c>
    </row>
    <row r="6" spans="1:11" x14ac:dyDescent="0.45">
      <c r="A6" t="s">
        <v>62</v>
      </c>
      <c r="B6" s="14">
        <f>'Data Sheet (Input)'!B59</f>
        <v>323.29000000000002</v>
      </c>
      <c r="C6" s="14">
        <f>'Data Sheet (Input)'!C59</f>
        <v>560.34</v>
      </c>
      <c r="D6" s="14">
        <f>'Data Sheet (Input)'!D59</f>
        <v>533.42999999999995</v>
      </c>
      <c r="E6" s="14">
        <f>'Data Sheet (Input)'!E59</f>
        <v>1319.6</v>
      </c>
      <c r="F6" s="14">
        <f>'Data Sheet (Input)'!F59</f>
        <v>1118.5</v>
      </c>
      <c r="G6" s="14">
        <f>'Data Sheet (Input)'!G59</f>
        <v>1093.1199999999999</v>
      </c>
      <c r="H6" s="14">
        <f>'Data Sheet (Input)'!H59</f>
        <v>1586.88</v>
      </c>
      <c r="I6" s="14">
        <f>'Data Sheet (Input)'!I59</f>
        <v>1932.62</v>
      </c>
      <c r="J6" s="14">
        <f>'Data Sheet (Input)'!J59</f>
        <v>2474.38</v>
      </c>
      <c r="K6" s="14">
        <f>'Data Sheet (Input)'!K59</f>
        <v>2290.29</v>
      </c>
    </row>
    <row r="7" spans="1:11" x14ac:dyDescent="0.45">
      <c r="A7" t="s">
        <v>63</v>
      </c>
      <c r="B7" s="14">
        <f>'Data Sheet (Input)'!B60</f>
        <v>3710.92</v>
      </c>
      <c r="C7" s="14">
        <f>'Data Sheet (Input)'!C60</f>
        <v>4240.96</v>
      </c>
      <c r="D7" s="14">
        <f>'Data Sheet (Input)'!D60</f>
        <v>4819.82</v>
      </c>
      <c r="E7" s="14">
        <f>'Data Sheet (Input)'!E60</f>
        <v>5458.69</v>
      </c>
      <c r="F7" s="14">
        <f>'Data Sheet (Input)'!F60</f>
        <v>4889.3100000000004</v>
      </c>
      <c r="G7" s="14">
        <f>'Data Sheet (Input)'!G60</f>
        <v>6455.93</v>
      </c>
      <c r="H7" s="14">
        <f>'Data Sheet (Input)'!H60</f>
        <v>7559.99</v>
      </c>
      <c r="I7" s="14">
        <f>'Data Sheet (Input)'!I60</f>
        <v>7854.48</v>
      </c>
      <c r="J7" s="14">
        <f>'Data Sheet (Input)'!J60</f>
        <v>8698.09</v>
      </c>
      <c r="K7" s="14">
        <f>'Data Sheet (Input)'!K60</f>
        <v>8665.15</v>
      </c>
    </row>
    <row r="8" spans="1:11" s="2" customFormat="1" x14ac:dyDescent="0.45">
      <c r="A8" s="2" t="s">
        <v>26</v>
      </c>
      <c r="B8" s="15">
        <f>'Data Sheet (Input)'!B61</f>
        <v>10559.03</v>
      </c>
      <c r="C8" s="15">
        <f>'Data Sheet (Input)'!C61</f>
        <v>12405.19</v>
      </c>
      <c r="D8" s="15">
        <f>'Data Sheet (Input)'!D61</f>
        <v>13763.48</v>
      </c>
      <c r="E8" s="15">
        <f>'Data Sheet (Input)'!E61</f>
        <v>16248.84</v>
      </c>
      <c r="F8" s="15">
        <f>'Data Sheet (Input)'!F61</f>
        <v>16137.97</v>
      </c>
      <c r="G8" s="15">
        <f>'Data Sheet (Input)'!G61</f>
        <v>20355.34</v>
      </c>
      <c r="H8" s="15">
        <f>'Data Sheet (Input)'!H61</f>
        <v>22958.43</v>
      </c>
      <c r="I8" s="15">
        <f>'Data Sheet (Input)'!I61</f>
        <v>25779.33</v>
      </c>
      <c r="J8" s="15">
        <f>'Data Sheet (Input)'!J61</f>
        <v>29900.77</v>
      </c>
      <c r="K8" s="15">
        <f>'Data Sheet (Input)'!K61</f>
        <v>30355.25</v>
      </c>
    </row>
    <row r="9" spans="1:11" s="2" customFormat="1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45">
      <c r="A10" t="s">
        <v>27</v>
      </c>
      <c r="B10" s="14">
        <f>'Data Sheet (Input)'!B62</f>
        <v>3416.35</v>
      </c>
      <c r="C10" s="14">
        <f>'Data Sheet (Input)'!C62</f>
        <v>3303.74</v>
      </c>
      <c r="D10" s="14">
        <f>'Data Sheet (Input)'!D62</f>
        <v>3732.24</v>
      </c>
      <c r="E10" s="14">
        <f>'Data Sheet (Input)'!E62</f>
        <v>6496.56</v>
      </c>
      <c r="F10" s="14">
        <f>'Data Sheet (Input)'!F62</f>
        <v>6272.31</v>
      </c>
      <c r="G10" s="14">
        <f>'Data Sheet (Input)'!G62</f>
        <v>5858.52</v>
      </c>
      <c r="H10" s="14">
        <f>'Data Sheet (Input)'!H62</f>
        <v>5519.06</v>
      </c>
      <c r="I10" s="14">
        <f>'Data Sheet (Input)'!I62</f>
        <v>5770.46</v>
      </c>
      <c r="J10" s="14">
        <f>'Data Sheet (Input)'!J62</f>
        <v>7146.62</v>
      </c>
      <c r="K10" s="14">
        <f>'Data Sheet (Input)'!K62</f>
        <v>9220.1</v>
      </c>
    </row>
    <row r="11" spans="1:11" x14ac:dyDescent="0.45">
      <c r="A11" t="s">
        <v>28</v>
      </c>
      <c r="B11" s="14">
        <f>'Data Sheet (Input)'!B63</f>
        <v>106.59</v>
      </c>
      <c r="C11" s="14">
        <f>'Data Sheet (Input)'!C63</f>
        <v>257.54000000000002</v>
      </c>
      <c r="D11" s="14">
        <f>'Data Sheet (Input)'!D63</f>
        <v>1405.11</v>
      </c>
      <c r="E11" s="14">
        <f>'Data Sheet (Input)'!E63</f>
        <v>209.67</v>
      </c>
      <c r="F11" s="14">
        <f>'Data Sheet (Input)'!F63</f>
        <v>140.24</v>
      </c>
      <c r="G11" s="14">
        <f>'Data Sheet (Input)'!G63</f>
        <v>182.98</v>
      </c>
      <c r="H11" s="14">
        <f>'Data Sheet (Input)'!H63</f>
        <v>426.43</v>
      </c>
      <c r="I11" s="14">
        <f>'Data Sheet (Input)'!I63</f>
        <v>1019.59</v>
      </c>
      <c r="J11" s="14">
        <f>'Data Sheet (Input)'!J63</f>
        <v>2698.37</v>
      </c>
      <c r="K11" s="14">
        <f>'Data Sheet (Input)'!K63</f>
        <v>1254.49</v>
      </c>
    </row>
    <row r="12" spans="1:11" x14ac:dyDescent="0.45">
      <c r="A12" t="s">
        <v>29</v>
      </c>
      <c r="B12" s="14">
        <f>'Data Sheet (Input)'!B64</f>
        <v>2712.13</v>
      </c>
      <c r="C12" s="14">
        <f>'Data Sheet (Input)'!C64</f>
        <v>2651.99</v>
      </c>
      <c r="D12" s="14">
        <f>'Data Sheet (Input)'!D64</f>
        <v>2140.6999999999998</v>
      </c>
      <c r="E12" s="14">
        <f>'Data Sheet (Input)'!E64</f>
        <v>2568.58</v>
      </c>
      <c r="F12" s="14">
        <f>'Data Sheet (Input)'!F64</f>
        <v>2018.85</v>
      </c>
      <c r="G12" s="14">
        <f>'Data Sheet (Input)'!G64</f>
        <v>4736.8</v>
      </c>
      <c r="H12" s="14">
        <f>'Data Sheet (Input)'!H64</f>
        <v>3247.53</v>
      </c>
      <c r="I12" s="14">
        <f>'Data Sheet (Input)'!I64</f>
        <v>4261.71</v>
      </c>
      <c r="J12" s="14">
        <f>'Data Sheet (Input)'!J64</f>
        <v>4587.92</v>
      </c>
      <c r="K12" s="14">
        <f>'Data Sheet (Input)'!K64</f>
        <v>4724.75</v>
      </c>
    </row>
    <row r="13" spans="1:11" x14ac:dyDescent="0.45">
      <c r="A13" t="s">
        <v>64</v>
      </c>
      <c r="B13" s="14">
        <f>'Data Sheet (Input)'!B65</f>
        <v>4323.96</v>
      </c>
      <c r="C13" s="14">
        <f>'Data Sheet (Input)'!C65</f>
        <v>6191.92</v>
      </c>
      <c r="D13" s="14">
        <f>'Data Sheet (Input)'!D65</f>
        <v>6485.43</v>
      </c>
      <c r="E13" s="14">
        <f>'Data Sheet (Input)'!E65</f>
        <v>6974.03</v>
      </c>
      <c r="F13" s="14">
        <f>'Data Sheet (Input)'!F65</f>
        <v>7706.57</v>
      </c>
      <c r="G13" s="14">
        <f>'Data Sheet (Input)'!G65</f>
        <v>9577.0400000000009</v>
      </c>
      <c r="H13" s="14">
        <f>'Data Sheet (Input)'!H65</f>
        <v>13765.41</v>
      </c>
      <c r="I13" s="14">
        <f>'Data Sheet (Input)'!I65</f>
        <v>14727.57</v>
      </c>
      <c r="J13" s="14">
        <f>'Data Sheet (Input)'!J65</f>
        <v>15467.86</v>
      </c>
      <c r="K13" s="14">
        <f>'Data Sheet (Input)'!K65</f>
        <v>15155.91</v>
      </c>
    </row>
    <row r="14" spans="1:11" s="2" customFormat="1" x14ac:dyDescent="0.45">
      <c r="A14" s="2" t="s">
        <v>26</v>
      </c>
      <c r="B14" s="14">
        <f>'Data Sheet (Input)'!B66</f>
        <v>10559.03</v>
      </c>
      <c r="C14" s="14">
        <f>'Data Sheet (Input)'!C66</f>
        <v>12405.19</v>
      </c>
      <c r="D14" s="14">
        <f>'Data Sheet (Input)'!D66</f>
        <v>13763.48</v>
      </c>
      <c r="E14" s="14">
        <f>'Data Sheet (Input)'!E66</f>
        <v>16248.84</v>
      </c>
      <c r="F14" s="14">
        <f>'Data Sheet (Input)'!F66</f>
        <v>16137.97</v>
      </c>
      <c r="G14" s="14">
        <f>'Data Sheet (Input)'!G66</f>
        <v>20355.34</v>
      </c>
      <c r="H14" s="14">
        <f>'Data Sheet (Input)'!H66</f>
        <v>22958.43</v>
      </c>
      <c r="I14" s="14">
        <f>'Data Sheet (Input)'!I66</f>
        <v>25779.33</v>
      </c>
      <c r="J14" s="14">
        <f>'Data Sheet (Input)'!J66</f>
        <v>29900.77</v>
      </c>
      <c r="K14" s="14">
        <f>'Data Sheet (Input)'!K66</f>
        <v>30355.25</v>
      </c>
    </row>
    <row r="15" spans="1:11" x14ac:dyDescent="0.4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5">
      <c r="A16" t="s">
        <v>30</v>
      </c>
      <c r="B16" s="4">
        <f>B13-B7</f>
        <v>613.04</v>
      </c>
      <c r="C16" s="4">
        <f t="shared" ref="C16:K16" si="0">C13-C7</f>
        <v>1950.96</v>
      </c>
      <c r="D16" s="4">
        <f t="shared" si="0"/>
        <v>1665.6100000000006</v>
      </c>
      <c r="E16" s="4">
        <f t="shared" si="0"/>
        <v>1515.3400000000001</v>
      </c>
      <c r="F16" s="4">
        <f t="shared" si="0"/>
        <v>2817.2599999999993</v>
      </c>
      <c r="G16" s="4">
        <f t="shared" si="0"/>
        <v>3121.1100000000006</v>
      </c>
      <c r="H16" s="4">
        <f t="shared" si="0"/>
        <v>6205.42</v>
      </c>
      <c r="I16" s="4">
        <f t="shared" si="0"/>
        <v>6873.09</v>
      </c>
      <c r="J16" s="4">
        <f t="shared" si="0"/>
        <v>6769.77</v>
      </c>
      <c r="K16" s="4">
        <f t="shared" si="0"/>
        <v>6490.76</v>
      </c>
    </row>
    <row r="17" spans="1:11" x14ac:dyDescent="0.45">
      <c r="A17" t="s">
        <v>44</v>
      </c>
      <c r="B17" s="4">
        <f>'Data Sheet (Input)'!B67</f>
        <v>1186.8399999999999</v>
      </c>
      <c r="C17" s="4">
        <f>'Data Sheet (Input)'!C67</f>
        <v>1446.6</v>
      </c>
      <c r="D17" s="4">
        <f>'Data Sheet (Input)'!D67</f>
        <v>1730.63</v>
      </c>
      <c r="E17" s="4">
        <f>'Data Sheet (Input)'!E67</f>
        <v>1907.33</v>
      </c>
      <c r="F17" s="4">
        <f>'Data Sheet (Input)'!F67</f>
        <v>1795.22</v>
      </c>
      <c r="G17" s="4">
        <f>'Data Sheet (Input)'!G67</f>
        <v>2602.17</v>
      </c>
      <c r="H17" s="4">
        <f>'Data Sheet (Input)'!H67</f>
        <v>3871.44</v>
      </c>
      <c r="I17" s="4">
        <f>'Data Sheet (Input)'!I67</f>
        <v>4636.9399999999996</v>
      </c>
      <c r="J17" s="4">
        <f>'Data Sheet (Input)'!J67</f>
        <v>4889.05</v>
      </c>
      <c r="K17" s="4">
        <f>'Data Sheet (Input)'!K67</f>
        <v>4313.6499999999996</v>
      </c>
    </row>
    <row r="18" spans="1:11" x14ac:dyDescent="0.45">
      <c r="A18" t="s">
        <v>45</v>
      </c>
      <c r="B18" s="4">
        <f>'Data Sheet (Input)'!B68</f>
        <v>1998.24</v>
      </c>
      <c r="C18" s="4">
        <f>'Data Sheet (Input)'!C68</f>
        <v>2626.94</v>
      </c>
      <c r="D18" s="4">
        <f>'Data Sheet (Input)'!D68</f>
        <v>2658.31</v>
      </c>
      <c r="E18" s="4">
        <f>'Data Sheet (Input)'!E68</f>
        <v>3149.86</v>
      </c>
      <c r="F18" s="4">
        <f>'Data Sheet (Input)'!F68</f>
        <v>3389.81</v>
      </c>
      <c r="G18" s="4">
        <f>'Data Sheet (Input)'!G68</f>
        <v>3798.6</v>
      </c>
      <c r="H18" s="4">
        <f>'Data Sheet (Input)'!H68</f>
        <v>6152.98</v>
      </c>
      <c r="I18" s="4">
        <f>'Data Sheet (Input)'!I68</f>
        <v>6210.64</v>
      </c>
      <c r="J18" s="4">
        <f>'Data Sheet (Input)'!J68</f>
        <v>5923.41</v>
      </c>
      <c r="K18" s="4">
        <f>'Data Sheet (Input)'!K68</f>
        <v>6719.27</v>
      </c>
    </row>
    <row r="20" spans="1:11" x14ac:dyDescent="0.45">
      <c r="A20" t="s">
        <v>46</v>
      </c>
      <c r="B20" s="4">
        <f>IF('Profit &amp; Loss (Input)'!B4&gt;0,'Balance Sheet (Input)'!B17/('Profit &amp; Loss (Input)'!B4/365),0)</f>
        <v>30.353985463325831</v>
      </c>
      <c r="C20" s="4">
        <f>IF('Profit &amp; Loss (Input)'!C4&gt;0,'Balance Sheet (Input)'!C17/('Profit &amp; Loss (Input)'!C4/365),0)</f>
        <v>35.05572636816251</v>
      </c>
      <c r="D20" s="4">
        <f>IF('Profit &amp; Loss (Input)'!D4&gt;0,'Balance Sheet (Input)'!D17/('Profit &amp; Loss (Input)'!D4/365),0)</f>
        <v>37.545131964896541</v>
      </c>
      <c r="E20" s="4">
        <f>IF('Profit &amp; Loss (Input)'!E4&gt;0,'Balance Sheet (Input)'!E17/('Profit &amp; Loss (Input)'!E4/365),0)</f>
        <v>36.18351071432469</v>
      </c>
      <c r="F20" s="4">
        <f>IF('Profit &amp; Loss (Input)'!F4&gt;0,'Balance Sheet (Input)'!F17/('Profit &amp; Loss (Input)'!F4/365),0)</f>
        <v>32.420325313872226</v>
      </c>
      <c r="G20" s="4">
        <f>IF('Profit &amp; Loss (Input)'!G4&gt;0,'Balance Sheet (Input)'!G17/('Profit &amp; Loss (Input)'!G4/365),0)</f>
        <v>43.743436472235949</v>
      </c>
      <c r="H20" s="4">
        <f>IF('Profit &amp; Loss (Input)'!H4&gt;0,'Balance Sheet (Input)'!H17/('Profit &amp; Loss (Input)'!H4/365),0)</f>
        <v>48.557163121347244</v>
      </c>
      <c r="I20" s="4">
        <f>IF('Profit &amp; Loss (Input)'!I4&gt;0,'Balance Sheet (Input)'!I17/('Profit &amp; Loss (Input)'!I4/365),0)</f>
        <v>49.073711044725222</v>
      </c>
      <c r="J20" s="4">
        <f>IF('Profit &amp; Loss (Input)'!J4&gt;0,'Balance Sheet (Input)'!J17/('Profit &amp; Loss (Input)'!J4/365),0)</f>
        <v>50.275160566089667</v>
      </c>
      <c r="K20" s="4">
        <f>IF('Profit &amp; Loss (Input)'!K4&gt;0,'Balance Sheet (Input)'!K17/('Profit &amp; Loss (Input)'!K4/365),0)</f>
        <v>46.437205690384069</v>
      </c>
    </row>
    <row r="21" spans="1:11" x14ac:dyDescent="0.45">
      <c r="A21" t="s">
        <v>47</v>
      </c>
      <c r="B21" s="4">
        <f>IF('Balance Sheet (Input)'!B18&gt;0,'Profit &amp; Loss (Input)'!B4/'Balance Sheet (Input)'!B18,0)</f>
        <v>7.142029986388021</v>
      </c>
      <c r="C21" s="4">
        <f>IF('Balance Sheet (Input)'!C18&gt;0,'Profit &amp; Loss (Input)'!C4/'Balance Sheet (Input)'!C18,0)</f>
        <v>5.7336635020213631</v>
      </c>
      <c r="D21" s="4">
        <f>IF('Balance Sheet (Input)'!D18&gt;0,'Profit &amp; Loss (Input)'!D4/'Balance Sheet (Input)'!D18,0)</f>
        <v>6.3290398787199385</v>
      </c>
      <c r="E21" s="4">
        <f>IF('Balance Sheet (Input)'!E18&gt;0,'Profit &amp; Loss (Input)'!E4/'Balance Sheet (Input)'!E18,0)</f>
        <v>6.1082492555224679</v>
      </c>
      <c r="F21" s="4">
        <f>IF('Balance Sheet (Input)'!F18&gt;0,'Profit &amp; Loss (Input)'!F4/'Balance Sheet (Input)'!F18,0)</f>
        <v>5.9623548222466747</v>
      </c>
      <c r="G21" s="4">
        <f>IF('Balance Sheet (Input)'!G18&gt;0,'Profit &amp; Loss (Input)'!G4/'Balance Sheet (Input)'!G18,0)</f>
        <v>5.7159979992628864</v>
      </c>
      <c r="H21" s="4">
        <f>IF('Balance Sheet (Input)'!H18&gt;0,'Profit &amp; Loss (Input)'!H4/'Balance Sheet (Input)'!H18,0)</f>
        <v>4.7296236945350056</v>
      </c>
      <c r="I21" s="4">
        <f>IF('Balance Sheet (Input)'!I18&gt;0,'Profit &amp; Loss (Input)'!I4/'Balance Sheet (Input)'!I18,0)</f>
        <v>5.5531458915667296</v>
      </c>
      <c r="J21" s="4">
        <f>IF('Balance Sheet (Input)'!J18&gt;0,'Profit &amp; Loss (Input)'!J4/'Balance Sheet (Input)'!J18,0)</f>
        <v>5.9922797847861293</v>
      </c>
      <c r="K21" s="4">
        <f>IF('Balance Sheet (Input)'!K18&gt;0,'Profit &amp; Loss (Input)'!K4/'Balance Sheet (Input)'!K18,0)</f>
        <v>5.0460273214203326</v>
      </c>
    </row>
    <row r="23" spans="1:11" s="2" customFormat="1" x14ac:dyDescent="0.45">
      <c r="A23" s="2" t="s">
        <v>50</v>
      </c>
      <c r="B23" s="10">
        <f>IF(SUM('Balance Sheet (Input)'!B4:B5)&gt;0,'Profit &amp; Loss (Input)'!B12/SUM('Balance Sheet (Input)'!B4:B5),"")</f>
        <v>0.26746484960504657</v>
      </c>
      <c r="C23" s="10">
        <f>IF(SUM('Balance Sheet (Input)'!C4:C5)&gt;0,'Profit &amp; Loss (Input)'!C12/SUM('Balance Sheet (Input)'!C4:C5),"")</f>
        <v>0.25505760867135113</v>
      </c>
      <c r="D23" s="10">
        <f>IF(SUM('Balance Sheet (Input)'!D4:D5)&gt;0,'Profit &amp; Loss (Input)'!D12/SUM('Balance Sheet (Input)'!D4:D5),"")</f>
        <v>0.24243451130349589</v>
      </c>
      <c r="E23" s="10">
        <f>IF(SUM('Balance Sheet (Input)'!E4:E5)&gt;0,'Profit &amp; Loss (Input)'!E12/SUM('Balance Sheet (Input)'!E4:E5),"")</f>
        <v>0.22764464577030905</v>
      </c>
      <c r="F23" s="10">
        <f>IF(SUM('Balance Sheet (Input)'!F4:F5)&gt;0,'Profit &amp; Loss (Input)'!F12/SUM('Balance Sheet (Input)'!F4:F5),"")</f>
        <v>0.26704119184692049</v>
      </c>
      <c r="G23" s="10">
        <f>IF(SUM('Balance Sheet (Input)'!G4:G5)&gt;0,'Profit &amp; Loss (Input)'!G12/SUM('Balance Sheet (Input)'!G4:G5),"")</f>
        <v>0.24513656960759125</v>
      </c>
      <c r="H23" s="10">
        <f>IF(SUM('Balance Sheet (Input)'!H4:H5)&gt;0,'Profit &amp; Loss (Input)'!H12/SUM('Balance Sheet (Input)'!H4:H5),"")</f>
        <v>0.21942271546443706</v>
      </c>
      <c r="I23" s="10">
        <f>IF(SUM('Balance Sheet (Input)'!I4:I5)&gt;0,'Profit &amp; Loss (Input)'!I12/SUM('Balance Sheet (Input)'!I4:I5),"")</f>
        <v>0.25677782273016331</v>
      </c>
      <c r="J23" s="10">
        <f>IF(SUM('Balance Sheet (Input)'!J4:J5)&gt;0,'Profit &amp; Loss (Input)'!J12/SUM('Balance Sheet (Input)'!J4:J5),"")</f>
        <v>0.29154968683756666</v>
      </c>
      <c r="K23" s="10">
        <f>IF(SUM('Balance Sheet (Input)'!K4:K5)&gt;0,'Profit &amp; Loss (Input)'!K12/SUM('Balance Sheet (Input)'!K4:K5),"")</f>
        <v>0.18903432559391048</v>
      </c>
    </row>
    <row r="24" spans="1:11" s="2" customFormat="1" x14ac:dyDescent="0.45">
      <c r="A24" s="2" t="s">
        <v>51</v>
      </c>
      <c r="B24" s="10"/>
      <c r="C24" s="10">
        <f>IF((B4+B5+B6+C4+C5+C6)&gt;0,('Profit &amp; Loss (Input)'!C10+'Profit &amp; Loss (Input)'!C9)*2/(B4+B5+B6+C4+C5+C6),"")</f>
        <v>0.3992542135336663</v>
      </c>
      <c r="D24" s="10">
        <f>IF((C4+C5+C6+D4+D5+D6)&gt;0,('Profit &amp; Loss (Input)'!D10+'Profit &amp; Loss (Input)'!D9)*2/(C4+C5+C6+D4+D5+D6),"")</f>
        <v>0.37175244872395136</v>
      </c>
      <c r="E24" s="10">
        <f>IF((D4+D5+D6+E4+E5+E6)&gt;0,('Profit &amp; Loss (Input)'!E10+'Profit &amp; Loss (Input)'!E9)*2/(D4+D5+D6+E4+E5+E6),"")</f>
        <v>0.34626562230000191</v>
      </c>
      <c r="F24" s="10">
        <f>IF((E4+E5+E6+F4+F5+F6)&gt;0,('Profit &amp; Loss (Input)'!F10+'Profit &amp; Loss (Input)'!F9)*2/(E4+E5+E6+F4+F5+F6),"")</f>
        <v>0.33861810143106641</v>
      </c>
      <c r="G24" s="10">
        <f>IF((F4+F5+F6+G4+G5+G6)&gt;0,('Profit &amp; Loss (Input)'!G10+'Profit &amp; Loss (Input)'!G9)*2/(F4+F5+F6+G4+G5+G6),"")</f>
        <v>0.34960774325823019</v>
      </c>
      <c r="H24" s="10">
        <f>IF((G4+G5+G6+H4+H5+H6)&gt;0,('Profit &amp; Loss (Input)'!H10+'Profit &amp; Loss (Input)'!H9)*2/(G4+G5+G6+H4+H5+H6),"")</f>
        <v>0.29238527741796749</v>
      </c>
      <c r="I24" s="10">
        <f>IF((H4+H5+H6+I4+I5+I6)&gt;0,('Profit &amp; Loss (Input)'!I10+'Profit &amp; Loss (Input)'!I9)*2/(H4+H5+H6+I4+I5+I6),"")</f>
        <v>0.35010228581871716</v>
      </c>
      <c r="J24" s="10">
        <f>IF((I4+I5+I6+J4+J5+J6)&gt;0,('Profit &amp; Loss (Input)'!J10+'Profit &amp; Loss (Input)'!J9)*2/(I4+I5+I6+J4+J5+J6),"")</f>
        <v>0.38606781465633033</v>
      </c>
      <c r="K24" s="10" t="s">
        <v>186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1" tint="0.499984740745262"/>
    <pageSetUpPr fitToPage="1"/>
  </sheetPr>
  <dimension ref="A1:K24"/>
  <sheetViews>
    <sheetView zoomScale="150" zoomScaleNormal="15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96875" defaultRowHeight="14.25" x14ac:dyDescent="0.45"/>
  <cols>
    <col min="1" max="1" width="26.796875" bestFit="1" customWidth="1"/>
    <col min="2" max="6" width="13.46484375" customWidth="1"/>
    <col min="7" max="11" width="13.46484375" bestFit="1" customWidth="1"/>
  </cols>
  <sheetData>
    <row r="1" spans="1:11" s="2" customFormat="1" x14ac:dyDescent="0.45">
      <c r="A1" s="2" t="str">
        <f>'Balance Sheet (Input)'!A1</f>
        <v>ASIAN PAINTS LTD</v>
      </c>
      <c r="E1" t="str">
        <f>UPDATE</f>
        <v/>
      </c>
      <c r="F1"/>
      <c r="J1" s="2" t="s">
        <v>1</v>
      </c>
    </row>
    <row r="3" spans="1:11" s="2" customFormat="1" x14ac:dyDescent="0.45">
      <c r="A3" s="11" t="s">
        <v>2</v>
      </c>
      <c r="B3" s="12">
        <f>'Data Sheet (Input)'!B81</f>
        <v>42460</v>
      </c>
      <c r="C3" s="12">
        <f>'Data Sheet (Input)'!C81</f>
        <v>42825</v>
      </c>
      <c r="D3" s="12">
        <f>'Data Sheet (Input)'!D81</f>
        <v>43190</v>
      </c>
      <c r="E3" s="12">
        <f>'Data Sheet (Input)'!E81</f>
        <v>43555</v>
      </c>
      <c r="F3" s="12">
        <f>'Data Sheet (Input)'!F81</f>
        <v>43921</v>
      </c>
      <c r="G3" s="12">
        <f>'Data Sheet (Input)'!G81</f>
        <v>44286</v>
      </c>
      <c r="H3" s="12">
        <f>'Data Sheet (Input)'!H81</f>
        <v>44651</v>
      </c>
      <c r="I3" s="12">
        <f>'Data Sheet (Input)'!I81</f>
        <v>45016</v>
      </c>
      <c r="J3" s="12">
        <f>'Data Sheet (Input)'!J81</f>
        <v>45382</v>
      </c>
      <c r="K3" s="12">
        <f>'Data Sheet (Input)'!K81</f>
        <v>45747</v>
      </c>
    </row>
    <row r="4" spans="1:11" s="2" customFormat="1" x14ac:dyDescent="0.45">
      <c r="A4" s="2" t="s">
        <v>32</v>
      </c>
      <c r="B4" s="1">
        <f>'Data Sheet (Input)'!B82</f>
        <v>2242.9499999999998</v>
      </c>
      <c r="C4" s="1">
        <f>'Data Sheet (Input)'!C82</f>
        <v>1527.33</v>
      </c>
      <c r="D4" s="1">
        <f>'Data Sheet (Input)'!D82</f>
        <v>2113.44</v>
      </c>
      <c r="E4" s="1">
        <f>'Data Sheet (Input)'!E82</f>
        <v>2469.54</v>
      </c>
      <c r="F4" s="1">
        <f>'Data Sheet (Input)'!F82</f>
        <v>3038.15</v>
      </c>
      <c r="G4" s="1">
        <f>'Data Sheet (Input)'!G82</f>
        <v>3683.35</v>
      </c>
      <c r="H4" s="1">
        <f>'Data Sheet (Input)'!H82</f>
        <v>986.49</v>
      </c>
      <c r="I4" s="1">
        <f>'Data Sheet (Input)'!I82</f>
        <v>4193.43</v>
      </c>
      <c r="J4" s="1">
        <f>'Data Sheet (Input)'!J82</f>
        <v>6103.6</v>
      </c>
      <c r="K4" s="1">
        <f>'Data Sheet (Input)'!K82</f>
        <v>4423.96</v>
      </c>
    </row>
    <row r="5" spans="1:11" x14ac:dyDescent="0.45">
      <c r="A5" t="s">
        <v>33</v>
      </c>
      <c r="B5" s="6">
        <f>'Data Sheet (Input)'!B83</f>
        <v>-866.21</v>
      </c>
      <c r="C5" s="6">
        <f>'Data Sheet (Input)'!C83</f>
        <v>-681.11</v>
      </c>
      <c r="D5" s="6">
        <f>'Data Sheet (Input)'!D83</f>
        <v>-1556.14</v>
      </c>
      <c r="E5" s="6">
        <f>'Data Sheet (Input)'!E83</f>
        <v>-917.79</v>
      </c>
      <c r="F5" s="6">
        <f>'Data Sheet (Input)'!F83</f>
        <v>-517.91</v>
      </c>
      <c r="G5" s="6">
        <f>'Data Sheet (Input)'!G83</f>
        <v>-540.54</v>
      </c>
      <c r="H5" s="6">
        <f>'Data Sheet (Input)'!H83</f>
        <v>-316.75</v>
      </c>
      <c r="I5" s="6">
        <f>'Data Sheet (Input)'!I83</f>
        <v>-1282.3399999999999</v>
      </c>
      <c r="J5" s="6">
        <f>'Data Sheet (Input)'!J83</f>
        <v>-2548.48</v>
      </c>
      <c r="K5" s="6">
        <f>'Data Sheet (Input)'!K83</f>
        <v>-940.91</v>
      </c>
    </row>
    <row r="6" spans="1:11" x14ac:dyDescent="0.45">
      <c r="A6" t="s">
        <v>34</v>
      </c>
      <c r="B6" s="6">
        <f>'Data Sheet (Input)'!B84</f>
        <v>-848.98</v>
      </c>
      <c r="C6" s="6">
        <f>'Data Sheet (Input)'!C84</f>
        <v>-756.43</v>
      </c>
      <c r="D6" s="6">
        <f>'Data Sheet (Input)'!D84</f>
        <v>-1379.14</v>
      </c>
      <c r="E6" s="6">
        <f>'Data Sheet (Input)'!E84</f>
        <v>-1117.46</v>
      </c>
      <c r="F6" s="6">
        <f>'Data Sheet (Input)'!F84</f>
        <v>-2871.46</v>
      </c>
      <c r="G6" s="6">
        <f>'Data Sheet (Input)'!G84</f>
        <v>-650.4</v>
      </c>
      <c r="H6" s="6">
        <f>'Data Sheet (Input)'!H84</f>
        <v>-1807.61</v>
      </c>
      <c r="I6" s="6">
        <f>'Data Sheet (Input)'!I84</f>
        <v>-2140.0500000000002</v>
      </c>
      <c r="J6" s="6">
        <f>'Data Sheet (Input)'!J84</f>
        <v>-2982.5</v>
      </c>
      <c r="K6" s="6">
        <f>'Data Sheet (Input)'!K84</f>
        <v>-3752.58</v>
      </c>
    </row>
    <row r="7" spans="1:11" s="2" customFormat="1" x14ac:dyDescent="0.45">
      <c r="A7" s="2" t="s">
        <v>35</v>
      </c>
      <c r="B7" s="1">
        <f>'Data Sheet (Input)'!B85</f>
        <v>527.76</v>
      </c>
      <c r="C7" s="1">
        <f>'Data Sheet (Input)'!C85</f>
        <v>89.79</v>
      </c>
      <c r="D7" s="1">
        <f>'Data Sheet (Input)'!D85</f>
        <v>-821.84</v>
      </c>
      <c r="E7" s="1">
        <f>'Data Sheet (Input)'!E85</f>
        <v>434.29</v>
      </c>
      <c r="F7" s="1">
        <f>'Data Sheet (Input)'!F85</f>
        <v>-351.22</v>
      </c>
      <c r="G7" s="1">
        <f>'Data Sheet (Input)'!G85</f>
        <v>2492.41</v>
      </c>
      <c r="H7" s="1">
        <f>'Data Sheet (Input)'!H85</f>
        <v>-1137.8699999999999</v>
      </c>
      <c r="I7" s="1">
        <f>'Data Sheet (Input)'!I85</f>
        <v>771.04</v>
      </c>
      <c r="J7" s="1">
        <f>'Data Sheet (Input)'!J85</f>
        <v>572.62</v>
      </c>
      <c r="K7" s="1">
        <f>'Data Sheet (Input)'!K85</f>
        <v>-269.52999999999997</v>
      </c>
    </row>
    <row r="8" spans="1:11" x14ac:dyDescent="0.4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4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499984740745262"/>
  </sheetPr>
  <dimension ref="A1:K93"/>
  <sheetViews>
    <sheetView zoomScale="120" zoomScaleNormal="120" zoomScalePageLayoutView="120" workbookViewId="0">
      <pane xSplit="1" ySplit="1" topLeftCell="B56" activePane="bottomRight" state="frozen"/>
      <selection activeCell="C4" sqref="C4"/>
      <selection pane="topRight" activeCell="C4" sqref="C4"/>
      <selection pane="bottomLeft" activeCell="C4" sqref="C4"/>
      <selection pane="bottomRight" activeCell="B67" sqref="B67"/>
    </sheetView>
  </sheetViews>
  <sheetFormatPr defaultColWidth="8.796875" defaultRowHeight="14.25" x14ac:dyDescent="0.45"/>
  <cols>
    <col min="1" max="1" width="27.6640625" style="4" bestFit="1" customWidth="1"/>
    <col min="2" max="11" width="13.46484375" style="4" bestFit="1" customWidth="1"/>
    <col min="12" max="16384" width="8.796875" style="4"/>
  </cols>
  <sheetData>
    <row r="1" spans="1:11" s="1" customFormat="1" x14ac:dyDescent="0.45">
      <c r="A1" s="1" t="s">
        <v>0</v>
      </c>
      <c r="B1" s="1" t="s">
        <v>54</v>
      </c>
      <c r="E1" s="104" t="str">
        <f>IF(B2&lt;&gt;B3, "A NEW VERSION OF THE WORKSHEET IS AVAILABLE", "")</f>
        <v/>
      </c>
      <c r="F1" s="104"/>
      <c r="G1" s="104"/>
      <c r="H1" s="104"/>
      <c r="I1" s="104"/>
      <c r="J1" s="104"/>
      <c r="K1" s="104"/>
    </row>
    <row r="2" spans="1:11" x14ac:dyDescent="0.45">
      <c r="A2" s="1" t="s">
        <v>52</v>
      </c>
      <c r="B2" s="4">
        <v>2.1</v>
      </c>
      <c r="E2" s="105" t="s">
        <v>36</v>
      </c>
      <c r="F2" s="105"/>
      <c r="G2" s="105"/>
      <c r="H2" s="105"/>
      <c r="I2" s="105"/>
      <c r="J2" s="105"/>
      <c r="K2" s="105"/>
    </row>
    <row r="3" spans="1:11" x14ac:dyDescent="0.45">
      <c r="A3" s="1" t="s">
        <v>53</v>
      </c>
      <c r="B3" s="4">
        <v>2.1</v>
      </c>
    </row>
    <row r="4" spans="1:11" x14ac:dyDescent="0.45">
      <c r="A4" s="1"/>
    </row>
    <row r="5" spans="1:11" x14ac:dyDescent="0.45">
      <c r="A5" s="1" t="s">
        <v>55</v>
      </c>
    </row>
    <row r="6" spans="1:11" x14ac:dyDescent="0.45">
      <c r="A6" s="4" t="s">
        <v>42</v>
      </c>
      <c r="B6" s="4">
        <f>IF(B9&gt;0, B9/B8, 0)</f>
        <v>95.919797388563708</v>
      </c>
    </row>
    <row r="7" spans="1:11" x14ac:dyDescent="0.45">
      <c r="A7" s="4" t="s">
        <v>31</v>
      </c>
      <c r="B7">
        <v>1</v>
      </c>
    </row>
    <row r="8" spans="1:11" x14ac:dyDescent="0.45">
      <c r="A8" s="4" t="s">
        <v>43</v>
      </c>
      <c r="B8">
        <v>2221</v>
      </c>
    </row>
    <row r="9" spans="1:11" x14ac:dyDescent="0.45">
      <c r="A9" s="4" t="s">
        <v>70</v>
      </c>
      <c r="B9">
        <v>213037.87</v>
      </c>
      <c r="C9"/>
    </row>
    <row r="15" spans="1:11" x14ac:dyDescent="0.45">
      <c r="A15" s="1" t="s">
        <v>37</v>
      </c>
    </row>
    <row r="16" spans="1:11" s="18" customFormat="1" x14ac:dyDescent="0.4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45">
      <c r="A17" s="6" t="s">
        <v>6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6" customFormat="1" x14ac:dyDescent="0.45">
      <c r="A18" s="4" t="s">
        <v>71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6" customFormat="1" x14ac:dyDescent="0.45">
      <c r="A19" s="4" t="s">
        <v>72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6" customFormat="1" x14ac:dyDescent="0.45">
      <c r="A20" s="4" t="s">
        <v>73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6" customFormat="1" x14ac:dyDescent="0.45">
      <c r="A21" s="4" t="s">
        <v>74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6" customFormat="1" x14ac:dyDescent="0.45">
      <c r="A22" s="4" t="s">
        <v>75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6" customFormat="1" x14ac:dyDescent="0.45">
      <c r="A23" s="4" t="s">
        <v>76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6" customFormat="1" x14ac:dyDescent="0.45">
      <c r="A24" s="4" t="s">
        <v>77</v>
      </c>
      <c r="B24">
        <v>-1779.69</v>
      </c>
      <c r="C24">
        <v>-2028.47</v>
      </c>
      <c r="D24">
        <v>171.45</v>
      </c>
      <c r="E24">
        <v>202.51</v>
      </c>
      <c r="F24">
        <v>579.95000000000005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6" customFormat="1" x14ac:dyDescent="0.45">
      <c r="A25" s="6" t="s">
        <v>9</v>
      </c>
      <c r="B25">
        <v>213.39</v>
      </c>
      <c r="C25">
        <v>337.9</v>
      </c>
      <c r="D25">
        <v>336.41</v>
      </c>
      <c r="E25">
        <v>273.77</v>
      </c>
      <c r="F25">
        <v>350.1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6" customFormat="1" x14ac:dyDescent="0.45">
      <c r="A26" s="6" t="s">
        <v>10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6" customFormat="1" x14ac:dyDescent="0.45">
      <c r="A27" s="6" t="s">
        <v>11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6" customFormat="1" x14ac:dyDescent="0.45">
      <c r="A28" s="6" t="s">
        <v>12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6" customFormat="1" x14ac:dyDescent="0.45">
      <c r="A29" s="6" t="s">
        <v>13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6" customFormat="1" x14ac:dyDescent="0.45">
      <c r="A30" s="6" t="s">
        <v>14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6" customFormat="1" x14ac:dyDescent="0.45">
      <c r="A31" s="6" t="s">
        <v>61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6" customFormat="1" x14ac:dyDescent="0.45"/>
    <row r="33" spans="1:11" x14ac:dyDescent="0.45">
      <c r="A33" s="6"/>
    </row>
    <row r="34" spans="1:11" x14ac:dyDescent="0.45">
      <c r="A34" s="6"/>
    </row>
    <row r="35" spans="1:11" x14ac:dyDescent="0.45">
      <c r="A35" s="6"/>
    </row>
    <row r="36" spans="1:11" x14ac:dyDescent="0.45">
      <c r="A36" s="6"/>
    </row>
    <row r="37" spans="1:11" x14ac:dyDescent="0.45">
      <c r="A37" s="6"/>
    </row>
    <row r="38" spans="1:11" x14ac:dyDescent="0.45">
      <c r="A38" s="6"/>
    </row>
    <row r="39" spans="1:11" x14ac:dyDescent="0.45">
      <c r="A39" s="6"/>
    </row>
    <row r="40" spans="1:11" x14ac:dyDescent="0.45">
      <c r="A40" s="1" t="s">
        <v>39</v>
      </c>
    </row>
    <row r="41" spans="1:11" s="18" customFormat="1" x14ac:dyDescent="0.4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45">
      <c r="A42" s="6" t="s">
        <v>6</v>
      </c>
      <c r="B42">
        <v>8478.57</v>
      </c>
      <c r="C42">
        <v>9103.09</v>
      </c>
      <c r="D42">
        <v>8730.76</v>
      </c>
      <c r="E42">
        <v>8969.73</v>
      </c>
      <c r="F42">
        <v>8027.54</v>
      </c>
      <c r="G42">
        <v>8549.44</v>
      </c>
      <c r="H42">
        <v>8358.91</v>
      </c>
      <c r="I42">
        <v>8938.5499999999993</v>
      </c>
      <c r="J42">
        <v>8531.27</v>
      </c>
      <c r="K42">
        <v>8867.02</v>
      </c>
    </row>
    <row r="43" spans="1:11" s="6" customFormat="1" x14ac:dyDescent="0.45">
      <c r="A43" s="6" t="s">
        <v>7</v>
      </c>
      <c r="B43">
        <v>6762.34</v>
      </c>
      <c r="C43">
        <v>7047</v>
      </c>
      <c r="D43">
        <v>7039.39</v>
      </c>
      <c r="E43">
        <v>7275.96</v>
      </c>
      <c r="F43">
        <v>6788.03</v>
      </c>
      <c r="G43">
        <v>6912.71</v>
      </c>
      <c r="H43">
        <v>6922.71</v>
      </c>
      <c r="I43">
        <v>7313.58</v>
      </c>
      <c r="J43">
        <v>7027.89</v>
      </c>
      <c r="K43">
        <v>7086.06</v>
      </c>
    </row>
    <row r="44" spans="1:11" s="6" customFormat="1" x14ac:dyDescent="0.45">
      <c r="A44" s="6" t="s">
        <v>9</v>
      </c>
      <c r="B44">
        <v>194.33</v>
      </c>
      <c r="C44">
        <v>186.46</v>
      </c>
      <c r="D44">
        <v>212.43</v>
      </c>
      <c r="E44">
        <v>192.93</v>
      </c>
      <c r="F44">
        <v>24.53</v>
      </c>
      <c r="G44">
        <v>192.82</v>
      </c>
      <c r="H44">
        <v>-60.06</v>
      </c>
      <c r="I44">
        <v>229.11</v>
      </c>
      <c r="J44">
        <v>236.94</v>
      </c>
      <c r="K44">
        <v>69.14</v>
      </c>
    </row>
    <row r="45" spans="1:11" s="6" customFormat="1" x14ac:dyDescent="0.45">
      <c r="A45" s="6" t="s">
        <v>10</v>
      </c>
      <c r="B45">
        <v>208.72</v>
      </c>
      <c r="C45">
        <v>220.35</v>
      </c>
      <c r="D45">
        <v>225.61</v>
      </c>
      <c r="E45">
        <v>227.7</v>
      </c>
      <c r="F45">
        <v>241.99</v>
      </c>
      <c r="G45">
        <v>255.55</v>
      </c>
      <c r="H45">
        <v>301.10000000000002</v>
      </c>
      <c r="I45">
        <v>300.87</v>
      </c>
      <c r="J45">
        <v>304.93</v>
      </c>
      <c r="K45">
        <v>313.07</v>
      </c>
    </row>
    <row r="46" spans="1:11" s="6" customFormat="1" x14ac:dyDescent="0.45">
      <c r="A46" s="6" t="s">
        <v>11</v>
      </c>
      <c r="B46">
        <v>50.9</v>
      </c>
      <c r="C46">
        <v>54.42</v>
      </c>
      <c r="D46">
        <v>54.1</v>
      </c>
      <c r="E46">
        <v>55.38</v>
      </c>
      <c r="F46">
        <v>63.01</v>
      </c>
      <c r="G46">
        <v>55.84</v>
      </c>
      <c r="H46">
        <v>52.79</v>
      </c>
      <c r="I46">
        <v>44.5</v>
      </c>
      <c r="J46">
        <v>43.87</v>
      </c>
      <c r="K46">
        <v>47.94</v>
      </c>
    </row>
    <row r="47" spans="1:11" s="6" customFormat="1" x14ac:dyDescent="0.45">
      <c r="A47" s="6" t="s">
        <v>12</v>
      </c>
      <c r="B47">
        <v>1650.94</v>
      </c>
      <c r="C47">
        <v>1967.78</v>
      </c>
      <c r="D47">
        <v>1624.09</v>
      </c>
      <c r="E47">
        <v>1603.62</v>
      </c>
      <c r="F47">
        <v>959.04</v>
      </c>
      <c r="G47">
        <v>1518.16</v>
      </c>
      <c r="H47">
        <v>1022.25</v>
      </c>
      <c r="I47">
        <v>1508.71</v>
      </c>
      <c r="J47">
        <v>1391.52</v>
      </c>
      <c r="K47">
        <v>1489.09</v>
      </c>
    </row>
    <row r="48" spans="1:11" s="6" customFormat="1" x14ac:dyDescent="0.45">
      <c r="A48" s="6" t="s">
        <v>13</v>
      </c>
      <c r="B48">
        <v>418.55</v>
      </c>
      <c r="C48">
        <v>492.62</v>
      </c>
      <c r="D48">
        <v>348.79</v>
      </c>
      <c r="E48">
        <v>416.83</v>
      </c>
      <c r="F48">
        <v>265.38</v>
      </c>
      <c r="G48">
        <v>389.73</v>
      </c>
      <c r="H48">
        <v>321.42</v>
      </c>
      <c r="I48">
        <v>391.66</v>
      </c>
      <c r="J48">
        <v>373.29</v>
      </c>
      <c r="K48">
        <v>415.17</v>
      </c>
    </row>
    <row r="49" spans="1:11" s="6" customFormat="1" x14ac:dyDescent="0.45">
      <c r="A49" s="6" t="s">
        <v>14</v>
      </c>
      <c r="B49">
        <v>1205.42</v>
      </c>
      <c r="C49">
        <v>1447.72</v>
      </c>
      <c r="D49">
        <v>1256.72</v>
      </c>
      <c r="E49">
        <v>1169.98</v>
      </c>
      <c r="F49">
        <v>694.64</v>
      </c>
      <c r="G49">
        <v>1110.48</v>
      </c>
      <c r="H49">
        <v>692.13</v>
      </c>
      <c r="I49">
        <v>1099.77</v>
      </c>
      <c r="J49">
        <v>993.59</v>
      </c>
      <c r="K49">
        <v>1059.8699999999999</v>
      </c>
    </row>
    <row r="50" spans="1:11" x14ac:dyDescent="0.45">
      <c r="A50" s="6" t="s">
        <v>8</v>
      </c>
      <c r="B50">
        <v>1716.23</v>
      </c>
      <c r="C50">
        <v>2056.09</v>
      </c>
      <c r="D50">
        <v>1691.37</v>
      </c>
      <c r="E50">
        <v>1693.77</v>
      </c>
      <c r="F50">
        <v>1239.51</v>
      </c>
      <c r="G50">
        <v>1636.73</v>
      </c>
      <c r="H50">
        <v>1436.2</v>
      </c>
      <c r="I50">
        <v>1624.97</v>
      </c>
      <c r="J50">
        <v>1503.38</v>
      </c>
      <c r="K50">
        <v>1780.96</v>
      </c>
    </row>
    <row r="51" spans="1:11" x14ac:dyDescent="0.45">
      <c r="A51" s="6"/>
    </row>
    <row r="52" spans="1:11" x14ac:dyDescent="0.45">
      <c r="A52" s="6"/>
    </row>
    <row r="53" spans="1:11" x14ac:dyDescent="0.45">
      <c r="A53" s="6"/>
    </row>
    <row r="54" spans="1:11" x14ac:dyDescent="0.45">
      <c r="A54" s="6"/>
    </row>
    <row r="55" spans="1:11" x14ac:dyDescent="0.45">
      <c r="A55" s="1" t="s">
        <v>40</v>
      </c>
    </row>
    <row r="56" spans="1:11" s="18" customFormat="1" x14ac:dyDescent="0.4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45">
      <c r="A57" s="6" t="s">
        <v>24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45">
      <c r="A58" s="6" t="s">
        <v>25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45">
      <c r="A59" s="6" t="s">
        <v>62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45">
      <c r="A60" s="6" t="s">
        <v>63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45">
      <c r="A61" s="1" t="s">
        <v>26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45">
      <c r="A62" s="6" t="s">
        <v>27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45">
      <c r="A63" s="6" t="s">
        <v>28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45">
      <c r="A64" s="6" t="s">
        <v>29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45">
      <c r="A65" s="6" t="s">
        <v>64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45">
      <c r="A66" s="1" t="s">
        <v>26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6" customFormat="1" x14ac:dyDescent="0.45">
      <c r="A67" s="6" t="s">
        <v>69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45">
      <c r="A68" s="6" t="s">
        <v>45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45">
      <c r="A69" s="4" t="s">
        <v>78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45">
      <c r="A70" s="4" t="s">
        <v>65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45">
      <c r="A71" s="4" t="s">
        <v>66</v>
      </c>
    </row>
    <row r="72" spans="1:11" x14ac:dyDescent="0.45">
      <c r="A72" s="4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45">
      <c r="A74" s="6"/>
    </row>
    <row r="75" spans="1:11" x14ac:dyDescent="0.45">
      <c r="A75" s="6"/>
    </row>
    <row r="76" spans="1:11" x14ac:dyDescent="0.45">
      <c r="A76" s="6"/>
    </row>
    <row r="77" spans="1:11" x14ac:dyDescent="0.45">
      <c r="A77" s="6"/>
    </row>
    <row r="78" spans="1:11" x14ac:dyDescent="0.45">
      <c r="A78" s="6"/>
    </row>
    <row r="79" spans="1:11" x14ac:dyDescent="0.45">
      <c r="A79" s="6"/>
    </row>
    <row r="80" spans="1:11" x14ac:dyDescent="0.45">
      <c r="A80" s="1" t="s">
        <v>41</v>
      </c>
    </row>
    <row r="81" spans="1:11" s="18" customFormat="1" x14ac:dyDescent="0.4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45">
      <c r="A82" s="6" t="s">
        <v>32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6" customFormat="1" x14ac:dyDescent="0.45">
      <c r="A83" s="6" t="s">
        <v>33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6" customFormat="1" x14ac:dyDescent="0.45">
      <c r="A84" s="6" t="s">
        <v>34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45">
      <c r="A85" s="6" t="s">
        <v>35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45">
      <c r="A86" s="6"/>
    </row>
    <row r="87" spans="1:11" x14ac:dyDescent="0.45">
      <c r="A87" s="6"/>
    </row>
    <row r="88" spans="1:11" x14ac:dyDescent="0.45">
      <c r="A88" s="6"/>
    </row>
    <row r="89" spans="1:11" x14ac:dyDescent="0.45">
      <c r="A89" s="6"/>
    </row>
    <row r="90" spans="1:11" s="1" customFormat="1" x14ac:dyDescent="0.45">
      <c r="A90" s="1" t="s">
        <v>68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45">
      <c r="A92" s="1" t="s">
        <v>67</v>
      </c>
    </row>
    <row r="93" spans="1:11" x14ac:dyDescent="0.45">
      <c r="A93" s="4" t="s">
        <v>80</v>
      </c>
      <c r="B93" s="20">
        <v>95.92</v>
      </c>
      <c r="C93" s="20">
        <v>95.92</v>
      </c>
      <c r="D93" s="20">
        <v>95.92</v>
      </c>
      <c r="E93" s="20">
        <v>95.92</v>
      </c>
      <c r="F93" s="20">
        <v>95.92</v>
      </c>
      <c r="G93" s="20">
        <v>95.92</v>
      </c>
      <c r="H93" s="20">
        <v>95.92</v>
      </c>
      <c r="I93" s="20">
        <v>95.92</v>
      </c>
      <c r="J93" s="20">
        <v>95.92</v>
      </c>
      <c r="K93" s="20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2593-89DB-4CA0-83EF-D145735BF3F2}">
  <sheetPr>
    <tabColor theme="1" tint="0.499984740745262"/>
  </sheetPr>
  <dimension ref="C3:O31"/>
  <sheetViews>
    <sheetView workbookViewId="0">
      <selection activeCell="H6" sqref="H6"/>
    </sheetView>
  </sheetViews>
  <sheetFormatPr defaultRowHeight="14.25" x14ac:dyDescent="0.45"/>
  <cols>
    <col min="3" max="3" width="30.3984375" bestFit="1" customWidth="1"/>
  </cols>
  <sheetData>
    <row r="3" spans="3:15" ht="14.65" thickBot="1" x14ac:dyDescent="0.5">
      <c r="D3" s="33"/>
      <c r="E3" s="33"/>
      <c r="F3" s="33">
        <v>42430</v>
      </c>
      <c r="G3" s="33">
        <v>42795</v>
      </c>
      <c r="H3" s="33">
        <v>43160</v>
      </c>
      <c r="I3" s="33">
        <v>43525</v>
      </c>
      <c r="J3" s="33">
        <v>43891</v>
      </c>
      <c r="K3" s="33">
        <v>44256</v>
      </c>
      <c r="L3" s="33">
        <v>44621</v>
      </c>
      <c r="M3" s="33">
        <v>44986</v>
      </c>
      <c r="N3" s="33">
        <v>45352</v>
      </c>
      <c r="O3" s="33">
        <v>45717</v>
      </c>
    </row>
    <row r="4" spans="3:15" ht="14.65" thickBot="1" x14ac:dyDescent="0.5">
      <c r="C4" s="34" t="s">
        <v>119</v>
      </c>
      <c r="D4" s="35"/>
      <c r="E4" s="35"/>
      <c r="F4" s="35">
        <v>2243</v>
      </c>
      <c r="G4" s="35">
        <v>1527</v>
      </c>
      <c r="H4" s="35">
        <v>2113</v>
      </c>
      <c r="I4" s="35">
        <v>2470</v>
      </c>
      <c r="J4" s="35">
        <v>3038</v>
      </c>
      <c r="K4" s="35">
        <v>3683</v>
      </c>
      <c r="L4" s="36">
        <v>986</v>
      </c>
      <c r="M4" s="35">
        <v>4193</v>
      </c>
      <c r="N4" s="35">
        <v>6104</v>
      </c>
      <c r="O4" s="35">
        <v>4424</v>
      </c>
    </row>
    <row r="5" spans="3:15" x14ac:dyDescent="0.45">
      <c r="C5" s="37" t="s">
        <v>120</v>
      </c>
      <c r="D5" s="35"/>
      <c r="E5" s="35"/>
      <c r="F5" s="35">
        <v>2848</v>
      </c>
      <c r="G5" s="35">
        <v>3056</v>
      </c>
      <c r="H5" s="35">
        <v>3274</v>
      </c>
      <c r="I5" s="35">
        <v>3861</v>
      </c>
      <c r="J5" s="35">
        <v>4380</v>
      </c>
      <c r="K5" s="35">
        <v>4970</v>
      </c>
      <c r="L5" s="35">
        <v>4957</v>
      </c>
      <c r="M5" s="35">
        <v>6460</v>
      </c>
      <c r="N5" s="35">
        <v>7929</v>
      </c>
      <c r="O5" s="35">
        <v>6390</v>
      </c>
    </row>
    <row r="6" spans="3:15" x14ac:dyDescent="0.45">
      <c r="C6" s="38" t="s">
        <v>69</v>
      </c>
      <c r="D6" s="39"/>
      <c r="E6" s="39"/>
      <c r="F6" s="39">
        <v>-146</v>
      </c>
      <c r="G6" s="39">
        <v>-475</v>
      </c>
      <c r="H6" s="39">
        <v>-483</v>
      </c>
      <c r="I6" s="39">
        <v>-205</v>
      </c>
      <c r="J6" s="39">
        <v>160</v>
      </c>
      <c r="K6" s="40">
        <v>-1342</v>
      </c>
      <c r="L6" s="40">
        <v>-1326</v>
      </c>
      <c r="M6" s="39">
        <v>-834</v>
      </c>
      <c r="N6" s="39">
        <v>-362</v>
      </c>
      <c r="O6" s="39">
        <v>282</v>
      </c>
    </row>
    <row r="7" spans="3:15" x14ac:dyDescent="0.45">
      <c r="C7" s="38" t="s">
        <v>45</v>
      </c>
      <c r="D7" s="39"/>
      <c r="E7" s="39"/>
      <c r="F7" s="39">
        <v>202</v>
      </c>
      <c r="G7" s="39">
        <v>-629</v>
      </c>
      <c r="H7" s="39">
        <v>-39</v>
      </c>
      <c r="I7" s="39">
        <v>-492</v>
      </c>
      <c r="J7" s="39">
        <v>-251</v>
      </c>
      <c r="K7" s="39">
        <v>-409</v>
      </c>
      <c r="L7" s="40">
        <v>-2354</v>
      </c>
      <c r="M7" s="39">
        <v>-56</v>
      </c>
      <c r="N7" s="39">
        <v>315</v>
      </c>
      <c r="O7" s="39">
        <v>-805</v>
      </c>
    </row>
    <row r="8" spans="3:15" x14ac:dyDescent="0.45">
      <c r="C8" s="38" t="s">
        <v>121</v>
      </c>
      <c r="D8" s="39"/>
      <c r="E8" s="39"/>
      <c r="F8" s="39">
        <v>142</v>
      </c>
      <c r="G8" s="39">
        <v>501</v>
      </c>
      <c r="H8" s="39">
        <v>442</v>
      </c>
      <c r="I8" s="39">
        <v>287</v>
      </c>
      <c r="J8" s="39">
        <v>-241</v>
      </c>
      <c r="K8" s="40">
        <v>1544</v>
      </c>
      <c r="L8" s="39">
        <v>644</v>
      </c>
      <c r="M8" s="39">
        <v>-539</v>
      </c>
      <c r="N8" s="39">
        <v>269</v>
      </c>
      <c r="O8" s="39">
        <v>-160</v>
      </c>
    </row>
    <row r="9" spans="3:15" ht="14.65" thickBot="1" x14ac:dyDescent="0.5">
      <c r="C9" s="38" t="s">
        <v>122</v>
      </c>
      <c r="D9" s="39"/>
      <c r="E9" s="39"/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242</v>
      </c>
      <c r="M9" s="39">
        <v>657</v>
      </c>
      <c r="N9" s="39">
        <v>-212</v>
      </c>
      <c r="O9" s="39">
        <v>114</v>
      </c>
    </row>
    <row r="10" spans="3:15" x14ac:dyDescent="0.45">
      <c r="C10" s="37" t="s">
        <v>123</v>
      </c>
      <c r="D10" s="36"/>
      <c r="E10" s="36"/>
      <c r="F10" s="36">
        <v>198</v>
      </c>
      <c r="G10" s="36">
        <v>-603</v>
      </c>
      <c r="H10" s="36">
        <v>-80</v>
      </c>
      <c r="I10" s="36">
        <v>-410</v>
      </c>
      <c r="J10" s="36">
        <v>-331</v>
      </c>
      <c r="K10" s="36">
        <v>-206</v>
      </c>
      <c r="L10" s="35">
        <v>-2795</v>
      </c>
      <c r="M10" s="36">
        <v>-772</v>
      </c>
      <c r="N10" s="36">
        <v>10</v>
      </c>
      <c r="O10" s="36">
        <v>-570</v>
      </c>
    </row>
    <row r="11" spans="3:15" ht="14.65" thickBot="1" x14ac:dyDescent="0.5">
      <c r="C11" s="38" t="s">
        <v>124</v>
      </c>
      <c r="D11" s="39"/>
      <c r="E11" s="39"/>
      <c r="F11" s="39">
        <v>-802</v>
      </c>
      <c r="G11" s="39">
        <v>-925</v>
      </c>
      <c r="H11" s="40">
        <v>-1081</v>
      </c>
      <c r="I11" s="39">
        <v>-982</v>
      </c>
      <c r="J11" s="40">
        <v>-1011</v>
      </c>
      <c r="K11" s="40">
        <v>-1080</v>
      </c>
      <c r="L11" s="40">
        <v>-1176</v>
      </c>
      <c r="M11" s="40">
        <v>-1494</v>
      </c>
      <c r="N11" s="40">
        <v>-1835</v>
      </c>
      <c r="O11" s="40">
        <v>-1396</v>
      </c>
    </row>
    <row r="12" spans="3:15" x14ac:dyDescent="0.45">
      <c r="C12" s="41" t="s">
        <v>125</v>
      </c>
      <c r="D12" s="42"/>
      <c r="E12" s="42"/>
      <c r="F12" s="42">
        <v>-866</v>
      </c>
      <c r="G12" s="42">
        <v>-681</v>
      </c>
      <c r="H12" s="43">
        <v>-1556</v>
      </c>
      <c r="I12" s="42">
        <v>-918</v>
      </c>
      <c r="J12" s="42">
        <v>-518</v>
      </c>
      <c r="K12" s="42">
        <v>-541</v>
      </c>
      <c r="L12" s="42">
        <v>-317</v>
      </c>
      <c r="M12" s="43">
        <v>-1282</v>
      </c>
      <c r="N12" s="43">
        <v>-2548</v>
      </c>
      <c r="O12" s="42">
        <v>-941</v>
      </c>
    </row>
    <row r="13" spans="3:15" x14ac:dyDescent="0.45">
      <c r="C13" s="44" t="s">
        <v>126</v>
      </c>
      <c r="D13" s="45"/>
      <c r="E13" s="45"/>
      <c r="F13" s="45">
        <v>-817</v>
      </c>
      <c r="G13" s="45">
        <v>-684</v>
      </c>
      <c r="H13" s="46">
        <v>-1426</v>
      </c>
      <c r="I13" s="46">
        <v>-1151</v>
      </c>
      <c r="J13" s="45">
        <v>-414</v>
      </c>
      <c r="K13" s="45">
        <v>-289</v>
      </c>
      <c r="L13" s="45">
        <v>-551</v>
      </c>
      <c r="M13" s="46">
        <v>-1446</v>
      </c>
      <c r="N13" s="46">
        <v>-2496</v>
      </c>
      <c r="O13" s="46">
        <v>-1830</v>
      </c>
    </row>
    <row r="14" spans="3:15" x14ac:dyDescent="0.45">
      <c r="C14" s="44" t="s">
        <v>127</v>
      </c>
      <c r="D14" s="45"/>
      <c r="E14" s="45"/>
      <c r="F14" s="45">
        <v>15</v>
      </c>
      <c r="G14" s="45">
        <v>17</v>
      </c>
      <c r="H14" s="45">
        <v>17</v>
      </c>
      <c r="I14" s="45">
        <v>17</v>
      </c>
      <c r="J14" s="45">
        <v>37</v>
      </c>
      <c r="K14" s="45">
        <v>28</v>
      </c>
      <c r="L14" s="45">
        <v>40</v>
      </c>
      <c r="M14" s="45">
        <v>26</v>
      </c>
      <c r="N14" s="45">
        <v>5</v>
      </c>
      <c r="O14" s="45">
        <v>10</v>
      </c>
    </row>
    <row r="15" spans="3:15" x14ac:dyDescent="0.45">
      <c r="C15" s="44" t="s">
        <v>128</v>
      </c>
      <c r="D15" s="45"/>
      <c r="E15" s="45"/>
      <c r="F15" s="45">
        <v>-282</v>
      </c>
      <c r="G15" s="45">
        <v>-153</v>
      </c>
      <c r="H15" s="45">
        <v>-320</v>
      </c>
      <c r="I15" s="45">
        <v>-573</v>
      </c>
      <c r="J15" s="45">
        <v>-25</v>
      </c>
      <c r="K15" s="45">
        <v>-140</v>
      </c>
      <c r="L15" s="45">
        <v>0</v>
      </c>
      <c r="M15" s="45">
        <v>-146</v>
      </c>
      <c r="N15" s="45">
        <v>-212</v>
      </c>
      <c r="O15" s="45">
        <v>-1</v>
      </c>
    </row>
    <row r="16" spans="3:15" x14ac:dyDescent="0.45">
      <c r="C16" s="44" t="s">
        <v>129</v>
      </c>
      <c r="D16" s="45"/>
      <c r="E16" s="45"/>
      <c r="F16" s="45">
        <v>205</v>
      </c>
      <c r="G16" s="45">
        <v>357</v>
      </c>
      <c r="H16" s="45">
        <v>362</v>
      </c>
      <c r="I16" s="45">
        <v>733</v>
      </c>
      <c r="J16" s="45">
        <v>118</v>
      </c>
      <c r="K16" s="45">
        <v>272</v>
      </c>
      <c r="L16" s="45">
        <v>207</v>
      </c>
      <c r="M16" s="45">
        <v>446</v>
      </c>
      <c r="N16" s="45">
        <v>240</v>
      </c>
      <c r="O16" s="45">
        <v>421</v>
      </c>
    </row>
    <row r="17" spans="3:15" x14ac:dyDescent="0.45">
      <c r="C17" s="44" t="s">
        <v>130</v>
      </c>
      <c r="D17" s="45"/>
      <c r="E17" s="45"/>
      <c r="F17" s="45">
        <v>15</v>
      </c>
      <c r="G17" s="45">
        <v>32</v>
      </c>
      <c r="H17" s="45">
        <v>39</v>
      </c>
      <c r="I17" s="45">
        <v>40</v>
      </c>
      <c r="J17" s="45">
        <v>65</v>
      </c>
      <c r="K17" s="45">
        <v>73</v>
      </c>
      <c r="L17" s="45">
        <v>77</v>
      </c>
      <c r="M17" s="45">
        <v>87</v>
      </c>
      <c r="N17" s="45">
        <v>135</v>
      </c>
      <c r="O17" s="45">
        <v>155</v>
      </c>
    </row>
    <row r="18" spans="3:15" x14ac:dyDescent="0.45">
      <c r="C18" s="44" t="s">
        <v>131</v>
      </c>
      <c r="D18" s="45"/>
      <c r="E18" s="45"/>
      <c r="F18" s="45">
        <v>69</v>
      </c>
      <c r="G18" s="45">
        <v>74</v>
      </c>
      <c r="H18" s="45">
        <v>38</v>
      </c>
      <c r="I18" s="45">
        <v>40</v>
      </c>
      <c r="J18" s="45">
        <v>27</v>
      </c>
      <c r="K18" s="45">
        <v>8</v>
      </c>
      <c r="L18" s="45">
        <v>15</v>
      </c>
      <c r="M18" s="45">
        <v>56</v>
      </c>
      <c r="N18" s="45">
        <v>129</v>
      </c>
      <c r="O18" s="45">
        <v>136</v>
      </c>
    </row>
    <row r="19" spans="3:15" x14ac:dyDescent="0.45">
      <c r="C19" s="44" t="s">
        <v>132</v>
      </c>
      <c r="D19" s="45"/>
      <c r="E19" s="45"/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-180</v>
      </c>
      <c r="N19" s="45">
        <v>0</v>
      </c>
      <c r="O19" s="45">
        <v>0</v>
      </c>
    </row>
    <row r="20" spans="3:15" x14ac:dyDescent="0.45">
      <c r="C20" s="44" t="s">
        <v>133</v>
      </c>
      <c r="D20" s="45"/>
      <c r="E20" s="45"/>
      <c r="F20" s="45">
        <v>0</v>
      </c>
      <c r="G20" s="45">
        <v>0</v>
      </c>
      <c r="H20" s="45">
        <v>141</v>
      </c>
      <c r="I20" s="45">
        <v>0</v>
      </c>
      <c r="J20" s="45">
        <v>17</v>
      </c>
      <c r="K20" s="45">
        <v>0</v>
      </c>
      <c r="L20" s="45">
        <v>0</v>
      </c>
      <c r="M20" s="45">
        <v>0</v>
      </c>
      <c r="N20" s="45">
        <v>0</v>
      </c>
      <c r="O20" s="45">
        <v>38</v>
      </c>
    </row>
    <row r="21" spans="3:15" x14ac:dyDescent="0.45">
      <c r="C21" s="44" t="s">
        <v>134</v>
      </c>
      <c r="D21" s="45"/>
      <c r="E21" s="45"/>
      <c r="F21" s="45">
        <v>0</v>
      </c>
      <c r="G21" s="45">
        <v>0</v>
      </c>
      <c r="H21" s="45">
        <v>-525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</row>
    <row r="22" spans="3:15" ht="14.65" thickBot="1" x14ac:dyDescent="0.5">
      <c r="C22" s="44" t="s">
        <v>135</v>
      </c>
      <c r="D22" s="45"/>
      <c r="E22" s="45"/>
      <c r="F22" s="45">
        <v>-70</v>
      </c>
      <c r="G22" s="45">
        <v>-324</v>
      </c>
      <c r="H22" s="45">
        <v>118</v>
      </c>
      <c r="I22" s="45">
        <v>-24</v>
      </c>
      <c r="J22" s="45">
        <v>-343</v>
      </c>
      <c r="K22" s="45">
        <v>-493</v>
      </c>
      <c r="L22" s="45">
        <v>-105</v>
      </c>
      <c r="M22" s="45">
        <v>-126</v>
      </c>
      <c r="N22" s="45">
        <v>-350</v>
      </c>
      <c r="O22" s="45">
        <v>130</v>
      </c>
    </row>
    <row r="23" spans="3:15" x14ac:dyDescent="0.45">
      <c r="C23" s="34" t="s">
        <v>136</v>
      </c>
      <c r="D23" s="36"/>
      <c r="E23" s="36"/>
      <c r="F23" s="36">
        <v>-849</v>
      </c>
      <c r="G23" s="36">
        <v>-756</v>
      </c>
      <c r="H23" s="35">
        <v>-1379</v>
      </c>
      <c r="I23" s="35">
        <v>-1117</v>
      </c>
      <c r="J23" s="35">
        <v>-2871</v>
      </c>
      <c r="K23" s="36">
        <v>-650</v>
      </c>
      <c r="L23" s="35">
        <v>-1808</v>
      </c>
      <c r="M23" s="35">
        <v>-2140</v>
      </c>
      <c r="N23" s="35">
        <v>-2982</v>
      </c>
      <c r="O23" s="35">
        <v>-3753</v>
      </c>
    </row>
    <row r="24" spans="3:15" x14ac:dyDescent="0.45">
      <c r="C24" s="38" t="s">
        <v>137</v>
      </c>
      <c r="D24" s="39"/>
      <c r="E24" s="39"/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1</v>
      </c>
      <c r="O24" s="39">
        <v>0</v>
      </c>
    </row>
    <row r="25" spans="3:15" x14ac:dyDescent="0.45">
      <c r="C25" s="38" t="s">
        <v>138</v>
      </c>
      <c r="D25" s="39"/>
      <c r="E25" s="39"/>
      <c r="F25" s="39">
        <v>8</v>
      </c>
      <c r="G25" s="39">
        <v>271</v>
      </c>
      <c r="H25" s="39">
        <v>10</v>
      </c>
      <c r="I25" s="39">
        <v>243</v>
      </c>
      <c r="J25" s="39">
        <v>18</v>
      </c>
      <c r="K25" s="39">
        <v>155</v>
      </c>
      <c r="L25" s="39">
        <v>418</v>
      </c>
      <c r="M25" s="39">
        <v>254</v>
      </c>
      <c r="N25" s="39">
        <v>101</v>
      </c>
      <c r="O25" s="39">
        <v>415</v>
      </c>
    </row>
    <row r="26" spans="3:15" x14ac:dyDescent="0.45">
      <c r="C26" s="38" t="s">
        <v>139</v>
      </c>
      <c r="D26" s="39"/>
      <c r="E26" s="39"/>
      <c r="F26" s="39">
        <v>-119</v>
      </c>
      <c r="G26" s="39">
        <v>-58</v>
      </c>
      <c r="H26" s="39">
        <v>-54</v>
      </c>
      <c r="I26" s="39">
        <v>-26</v>
      </c>
      <c r="J26" s="39">
        <v>-482</v>
      </c>
      <c r="K26" s="39">
        <v>-14</v>
      </c>
      <c r="L26" s="39">
        <v>-8</v>
      </c>
      <c r="M26" s="39">
        <v>-25</v>
      </c>
      <c r="N26" s="39">
        <v>-98</v>
      </c>
      <c r="O26" s="39">
        <v>-428</v>
      </c>
    </row>
    <row r="27" spans="3:15" x14ac:dyDescent="0.45">
      <c r="C27" s="38" t="s">
        <v>140</v>
      </c>
      <c r="D27" s="39"/>
      <c r="E27" s="39"/>
      <c r="F27" s="39">
        <v>-40</v>
      </c>
      <c r="G27" s="39">
        <v>-36</v>
      </c>
      <c r="H27" s="39">
        <v>-35</v>
      </c>
      <c r="I27" s="39">
        <v>-106</v>
      </c>
      <c r="J27" s="39">
        <v>-101</v>
      </c>
      <c r="K27" s="39">
        <v>-89</v>
      </c>
      <c r="L27" s="39">
        <v>-94</v>
      </c>
      <c r="M27" s="39">
        <v>-142</v>
      </c>
      <c r="N27" s="39">
        <v>-191</v>
      </c>
      <c r="O27" s="39">
        <v>-203</v>
      </c>
    </row>
    <row r="28" spans="3:15" x14ac:dyDescent="0.45">
      <c r="C28" s="38" t="s">
        <v>141</v>
      </c>
      <c r="D28" s="39"/>
      <c r="E28" s="39"/>
      <c r="F28" s="39">
        <v>-764</v>
      </c>
      <c r="G28" s="39">
        <v>-947</v>
      </c>
      <c r="H28" s="40">
        <v>-1218</v>
      </c>
      <c r="I28" s="40">
        <v>-1049</v>
      </c>
      <c r="J28" s="40">
        <v>-2121</v>
      </c>
      <c r="K28" s="39">
        <v>-499</v>
      </c>
      <c r="L28" s="40">
        <v>-1763</v>
      </c>
      <c r="M28" s="40">
        <v>-1936</v>
      </c>
      <c r="N28" s="40">
        <v>-2551</v>
      </c>
      <c r="O28" s="40">
        <v>-3140</v>
      </c>
    </row>
    <row r="29" spans="3:15" x14ac:dyDescent="0.45">
      <c r="C29" s="38" t="s">
        <v>142</v>
      </c>
      <c r="D29" s="39"/>
      <c r="E29" s="39"/>
      <c r="F29" s="39">
        <v>0</v>
      </c>
      <c r="G29" s="39">
        <v>0</v>
      </c>
      <c r="H29" s="39">
        <v>0</v>
      </c>
      <c r="I29" s="39">
        <v>-180</v>
      </c>
      <c r="J29" s="39">
        <v>-179</v>
      </c>
      <c r="K29" s="39">
        <v>-203</v>
      </c>
      <c r="L29" s="39">
        <v>-221</v>
      </c>
      <c r="M29" s="39">
        <v>-256</v>
      </c>
      <c r="N29" s="39">
        <v>-286</v>
      </c>
      <c r="O29" s="39">
        <v>-325</v>
      </c>
    </row>
    <row r="30" spans="3:15" ht="14.65" thickBot="1" x14ac:dyDescent="0.5">
      <c r="C30" s="38" t="s">
        <v>143</v>
      </c>
      <c r="D30" s="39"/>
      <c r="E30" s="39"/>
      <c r="F30" s="39">
        <v>66</v>
      </c>
      <c r="G30" s="39">
        <v>13</v>
      </c>
      <c r="H30" s="39">
        <v>-82</v>
      </c>
      <c r="I30" s="39">
        <v>0</v>
      </c>
      <c r="J30" s="39">
        <v>-6</v>
      </c>
      <c r="K30" s="39">
        <v>0</v>
      </c>
      <c r="L30" s="39">
        <v>-140</v>
      </c>
      <c r="M30" s="39">
        <v>-36</v>
      </c>
      <c r="N30" s="39">
        <v>41</v>
      </c>
      <c r="O30" s="39">
        <v>-72</v>
      </c>
    </row>
    <row r="31" spans="3:15" x14ac:dyDescent="0.45">
      <c r="C31" s="41" t="s">
        <v>35</v>
      </c>
      <c r="D31" s="42"/>
      <c r="E31" s="42"/>
      <c r="F31" s="42">
        <v>528</v>
      </c>
      <c r="G31" s="42">
        <v>90</v>
      </c>
      <c r="H31" s="42">
        <v>-822</v>
      </c>
      <c r="I31" s="42">
        <v>434</v>
      </c>
      <c r="J31" s="42">
        <v>-351</v>
      </c>
      <c r="K31" s="43">
        <v>2492</v>
      </c>
      <c r="L31" s="43">
        <v>-1138</v>
      </c>
      <c r="M31" s="42">
        <v>771</v>
      </c>
      <c r="N31" s="42">
        <v>573</v>
      </c>
      <c r="O31" s="42">
        <v>-270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4CFF-EC59-49E9-9A31-77ED5CEA1408}">
  <sheetPr>
    <tabColor theme="7" tint="0.79998168889431442"/>
  </sheetPr>
  <dimension ref="A2:M104"/>
  <sheetViews>
    <sheetView showGridLines="0" zoomScale="105" workbookViewId="0">
      <pane ySplit="3" topLeftCell="A83" activePane="bottomLeft" state="frozen"/>
      <selection pane="bottomLeft" activeCell="D58" sqref="D58"/>
    </sheetView>
  </sheetViews>
  <sheetFormatPr defaultRowHeight="14.25" outlineLevelRow="1" x14ac:dyDescent="0.45"/>
  <cols>
    <col min="1" max="1" width="3.33203125" customWidth="1"/>
    <col min="2" max="2" width="30.796875" customWidth="1"/>
    <col min="3" max="7" width="10.1328125" bestFit="1" customWidth="1"/>
    <col min="8" max="8" width="10.19921875" bestFit="1" customWidth="1"/>
    <col min="9" max="13" width="10.1328125" bestFit="1" customWidth="1"/>
  </cols>
  <sheetData>
    <row r="2" spans="1:13" x14ac:dyDescent="0.45">
      <c r="B2" s="106" t="s">
        <v>83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45">
      <c r="B3" s="21" t="s">
        <v>81</v>
      </c>
      <c r="C3" s="22">
        <f>'Data Sheet (Input)'!B16</f>
        <v>42460</v>
      </c>
      <c r="D3" s="22">
        <f>'Data Sheet (Input)'!C16</f>
        <v>42825</v>
      </c>
      <c r="E3" s="22">
        <f>'Data Sheet (Input)'!D16</f>
        <v>43190</v>
      </c>
      <c r="F3" s="22">
        <f>'Data Sheet (Input)'!E16</f>
        <v>43555</v>
      </c>
      <c r="G3" s="22">
        <f>'Data Sheet (Input)'!F16</f>
        <v>43921</v>
      </c>
      <c r="H3" s="22">
        <f>'Data Sheet (Input)'!G16</f>
        <v>44286</v>
      </c>
      <c r="I3" s="22">
        <f>'Data Sheet (Input)'!H16</f>
        <v>44651</v>
      </c>
      <c r="J3" s="22">
        <f>'Data Sheet (Input)'!I16</f>
        <v>45016</v>
      </c>
      <c r="K3" s="22">
        <f>'Data Sheet (Input)'!J16</f>
        <v>45382</v>
      </c>
      <c r="L3" s="22">
        <f>'Data Sheet (Input)'!K16</f>
        <v>45747</v>
      </c>
      <c r="M3" s="23" t="s">
        <v>82</v>
      </c>
    </row>
    <row r="5" spans="1:13" x14ac:dyDescent="0.45">
      <c r="A5" t="s">
        <v>84</v>
      </c>
      <c r="B5" s="24" t="s">
        <v>85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outlineLevel="1" x14ac:dyDescent="0.45">
      <c r="B6" t="s">
        <v>86</v>
      </c>
      <c r="C6" s="25">
        <f>'Data Sheet (Input)'!B17</f>
        <v>14271.49</v>
      </c>
      <c r="D6" s="25">
        <f>'Data Sheet (Input)'!C17</f>
        <v>15061.99</v>
      </c>
      <c r="E6" s="25">
        <f>'Data Sheet (Input)'!D17</f>
        <v>16824.55</v>
      </c>
      <c r="F6" s="25">
        <f>'Data Sheet (Input)'!E17</f>
        <v>19240.13</v>
      </c>
      <c r="G6" s="25">
        <f>'Data Sheet (Input)'!F17</f>
        <v>20211.25</v>
      </c>
      <c r="H6" s="25">
        <f>'Data Sheet (Input)'!G17</f>
        <v>21712.79</v>
      </c>
      <c r="I6" s="25">
        <f>'Data Sheet (Input)'!H17</f>
        <v>29101.279999999999</v>
      </c>
      <c r="J6" s="25">
        <f>'Data Sheet (Input)'!I17</f>
        <v>34488.589999999997</v>
      </c>
      <c r="K6" s="25">
        <f>'Data Sheet (Input)'!J17</f>
        <v>35494.730000000003</v>
      </c>
      <c r="L6" s="25">
        <f>'Data Sheet (Input)'!K17</f>
        <v>33905.620000000003</v>
      </c>
      <c r="M6" s="25">
        <f>SUM('Data Sheet (Input)'!H42:K42)</f>
        <v>34695.75</v>
      </c>
    </row>
    <row r="7" spans="1:13" outlineLevel="1" x14ac:dyDescent="0.45">
      <c r="B7" s="27" t="s">
        <v>87</v>
      </c>
      <c r="C7" s="27" t="s">
        <v>88</v>
      </c>
      <c r="D7" s="28">
        <f>(D6-C6)/C6</f>
        <v>5.5390151974320831E-2</v>
      </c>
      <c r="E7" s="28">
        <f t="shared" ref="E7:M7" si="0">(E6-D6)/D6</f>
        <v>0.11702039371955496</v>
      </c>
      <c r="F7" s="28">
        <f t="shared" si="0"/>
        <v>0.14357471670861935</v>
      </c>
      <c r="G7" s="28">
        <f t="shared" si="0"/>
        <v>5.0473671435691904E-2</v>
      </c>
      <c r="H7" s="28">
        <f t="shared" si="0"/>
        <v>7.4292287711052063E-2</v>
      </c>
      <c r="I7" s="28">
        <f t="shared" si="0"/>
        <v>0.34028284711453471</v>
      </c>
      <c r="J7" s="28">
        <f t="shared" si="0"/>
        <v>0.18512278497715556</v>
      </c>
      <c r="K7" s="28">
        <f t="shared" si="0"/>
        <v>2.9173126532572275E-2</v>
      </c>
      <c r="L7" s="28">
        <f t="shared" si="0"/>
        <v>-4.4770308155605086E-2</v>
      </c>
      <c r="M7" s="28">
        <f t="shared" si="0"/>
        <v>2.3303806271644564E-2</v>
      </c>
    </row>
    <row r="8" spans="1:13" outlineLevel="1" x14ac:dyDescent="0.45"/>
    <row r="9" spans="1:13" outlineLevel="1" x14ac:dyDescent="0.45">
      <c r="B9" t="s">
        <v>89</v>
      </c>
      <c r="C9" s="25">
        <f>SUM('Data Sheet (Input)'!B18,'Data Sheet (Input)'!B20:B22)-1*'Data Sheet (Input)'!B19</f>
        <v>9413.8399999999983</v>
      </c>
      <c r="D9" s="25">
        <f>SUM('Data Sheet (Input)'!C18,'Data Sheet (Input)'!C20:C22)-1*'Data Sheet (Input)'!C19</f>
        <v>9732.66</v>
      </c>
      <c r="E9" s="25">
        <f>SUM('Data Sheet (Input)'!D18,'Data Sheet (Input)'!D20:D22)-1*'Data Sheet (Input)'!D19</f>
        <v>11194.169999999998</v>
      </c>
      <c r="F9" s="25">
        <f>SUM('Data Sheet (Input)'!E18,'Data Sheet (Input)'!E20:E22)-1*'Data Sheet (Input)'!E19</f>
        <v>12905.81</v>
      </c>
      <c r="G9" s="25">
        <f>SUM('Data Sheet (Input)'!F18,'Data Sheet (Input)'!F20:F22)-1*'Data Sheet (Input)'!F19</f>
        <v>13158.020000000002</v>
      </c>
      <c r="H9" s="25">
        <f>SUM('Data Sheet (Input)'!G18,'Data Sheet (Input)'!G20:G22)-1*'Data Sheet (Input)'!G19</f>
        <v>14035.069999999998</v>
      </c>
      <c r="I9" s="25">
        <f>SUM('Data Sheet (Input)'!H18,'Data Sheet (Input)'!H20:H22)-1*'Data Sheet (Input)'!H19</f>
        <v>20590.57</v>
      </c>
      <c r="J9" s="25">
        <f>SUM('Data Sheet (Input)'!I18,'Data Sheet (Input)'!I20:I22)-1*'Data Sheet (Input)'!I19</f>
        <v>23766.7</v>
      </c>
      <c r="K9" s="25">
        <f>SUM('Data Sheet (Input)'!J18,'Data Sheet (Input)'!J20:J22)-1*'Data Sheet (Input)'!J19</f>
        <v>23009.99</v>
      </c>
      <c r="L9" s="25">
        <f>SUM('Data Sheet (Input)'!K18,'Data Sheet (Input)'!K20:K22)-1*'Data Sheet (Input)'!K19</f>
        <v>22741.27</v>
      </c>
      <c r="M9" s="25">
        <f>SUM('Data Sheet (Input)'!H43:K43)</f>
        <v>28350.240000000002</v>
      </c>
    </row>
    <row r="10" spans="1:13" outlineLevel="1" x14ac:dyDescent="0.45">
      <c r="B10" s="27" t="s">
        <v>90</v>
      </c>
      <c r="C10" s="28">
        <f>C9/C6</f>
        <v>0.65962558919916547</v>
      </c>
      <c r="D10" s="28">
        <f t="shared" ref="D10:M10" si="1">D9/D6</f>
        <v>0.64617357998511482</v>
      </c>
      <c r="E10" s="28">
        <f t="shared" si="1"/>
        <v>0.66534736441687881</v>
      </c>
      <c r="F10" s="28">
        <f t="shared" si="1"/>
        <v>0.67077561326248825</v>
      </c>
      <c r="G10" s="28">
        <f t="shared" si="1"/>
        <v>0.65102455315727636</v>
      </c>
      <c r="H10" s="28">
        <f t="shared" si="1"/>
        <v>0.64639643270164715</v>
      </c>
      <c r="I10" s="28">
        <f t="shared" si="1"/>
        <v>0.70754860267314701</v>
      </c>
      <c r="J10" s="28">
        <f t="shared" si="1"/>
        <v>0.68911776329504926</v>
      </c>
      <c r="K10" s="28">
        <f t="shared" si="1"/>
        <v>0.64826496778535858</v>
      </c>
      <c r="L10" s="28">
        <f t="shared" si="1"/>
        <v>0.67072272974214886</v>
      </c>
      <c r="M10" s="28">
        <f t="shared" si="1"/>
        <v>0.81710987656989698</v>
      </c>
    </row>
    <row r="11" spans="1:13" ht="14.65" outlineLevel="1" thickBot="1" x14ac:dyDescent="0.5"/>
    <row r="12" spans="1:13" ht="14.65" outlineLevel="1" thickBot="1" x14ac:dyDescent="0.5">
      <c r="B12" s="29" t="s">
        <v>91</v>
      </c>
      <c r="C12" s="30">
        <f>C6-C9</f>
        <v>4857.6500000000015</v>
      </c>
      <c r="D12" s="30">
        <f t="shared" ref="D12:M12" si="2">D6-D9</f>
        <v>5329.33</v>
      </c>
      <c r="E12" s="30">
        <f t="shared" si="2"/>
        <v>5630.380000000001</v>
      </c>
      <c r="F12" s="30">
        <f t="shared" si="2"/>
        <v>6334.3200000000015</v>
      </c>
      <c r="G12" s="30">
        <f t="shared" si="2"/>
        <v>7053.2299999999977</v>
      </c>
      <c r="H12" s="30">
        <f t="shared" si="2"/>
        <v>7677.720000000003</v>
      </c>
      <c r="I12" s="30">
        <f t="shared" si="2"/>
        <v>8510.7099999999991</v>
      </c>
      <c r="J12" s="30">
        <f t="shared" si="2"/>
        <v>10721.889999999996</v>
      </c>
      <c r="K12" s="30">
        <f t="shared" si="2"/>
        <v>12484.740000000002</v>
      </c>
      <c r="L12" s="30">
        <f t="shared" si="2"/>
        <v>11164.350000000002</v>
      </c>
      <c r="M12" s="30">
        <f t="shared" si="2"/>
        <v>6345.5099999999984</v>
      </c>
    </row>
    <row r="13" spans="1:13" outlineLevel="1" x14ac:dyDescent="0.45">
      <c r="B13" s="27" t="s">
        <v>92</v>
      </c>
      <c r="C13" s="28">
        <f>C12/C6</f>
        <v>0.34037441080083447</v>
      </c>
      <c r="D13" s="28">
        <f t="shared" ref="D13:M13" si="3">D12/D6</f>
        <v>0.35382642001488518</v>
      </c>
      <c r="E13" s="28">
        <f t="shared" si="3"/>
        <v>0.33465263558312119</v>
      </c>
      <c r="F13" s="28">
        <f t="shared" si="3"/>
        <v>0.3292243867375117</v>
      </c>
      <c r="G13" s="28">
        <f t="shared" si="3"/>
        <v>0.34897544684272364</v>
      </c>
      <c r="H13" s="28">
        <f t="shared" si="3"/>
        <v>0.35360356729835285</v>
      </c>
      <c r="I13" s="28">
        <f t="shared" si="3"/>
        <v>0.29245139732685294</v>
      </c>
      <c r="J13" s="28">
        <f t="shared" si="3"/>
        <v>0.31088223670495074</v>
      </c>
      <c r="K13" s="28">
        <f t="shared" si="3"/>
        <v>0.35173503221464147</v>
      </c>
      <c r="L13" s="28">
        <f t="shared" si="3"/>
        <v>0.32927727025785108</v>
      </c>
      <c r="M13" s="28">
        <f t="shared" si="3"/>
        <v>0.18289012343010305</v>
      </c>
    </row>
    <row r="14" spans="1:13" outlineLevel="1" x14ac:dyDescent="0.45"/>
    <row r="15" spans="1:13" outlineLevel="1" x14ac:dyDescent="0.45">
      <c r="B15" t="s">
        <v>93</v>
      </c>
      <c r="C15" s="25">
        <f>SUM('Data Sheet (Input)'!B23:B24)</f>
        <v>2132.61</v>
      </c>
      <c r="D15" s="25">
        <f>SUM('Data Sheet (Input)'!C23:C24)</f>
        <v>2335.5699999999997</v>
      </c>
      <c r="E15" s="25">
        <f>SUM('Data Sheet (Input)'!D23:D24)</f>
        <v>2426.37</v>
      </c>
      <c r="F15" s="25">
        <f>SUM('Data Sheet (Input)'!E23:E24)</f>
        <v>2569.38</v>
      </c>
      <c r="G15" s="25">
        <f>SUM('Data Sheet (Input)'!F23:F24)</f>
        <v>2891.46</v>
      </c>
      <c r="H15" s="25">
        <f>SUM('Data Sheet (Input)'!G23:G24)</f>
        <v>2822.12</v>
      </c>
      <c r="I15" s="25">
        <f>SUM('Data Sheet (Input)'!H23:H24)</f>
        <v>3707.1</v>
      </c>
      <c r="J15" s="25">
        <f>SUM('Data Sheet (Input)'!I23:I24)</f>
        <v>4462.05</v>
      </c>
      <c r="K15" s="25">
        <f>SUM('Data Sheet (Input)'!J23:J24)</f>
        <v>4899.76</v>
      </c>
      <c r="L15" s="25">
        <f>SUM('Data Sheet (Input)'!K23:K24)</f>
        <v>5158.1400000000003</v>
      </c>
    </row>
    <row r="16" spans="1:13" outlineLevel="1" x14ac:dyDescent="0.45">
      <c r="B16" s="27" t="s">
        <v>94</v>
      </c>
      <c r="C16" s="28">
        <f>C15/C6</f>
        <v>0.14943148893353111</v>
      </c>
      <c r="D16" s="28">
        <f t="shared" ref="D16:L16" si="4">D15/D6</f>
        <v>0.15506383950593511</v>
      </c>
      <c r="E16" s="28">
        <f t="shared" si="4"/>
        <v>0.14421604143944414</v>
      </c>
      <c r="F16" s="28">
        <f t="shared" si="4"/>
        <v>0.13354275672773522</v>
      </c>
      <c r="G16" s="28">
        <f t="shared" si="4"/>
        <v>0.14306190859051271</v>
      </c>
      <c r="H16" s="28">
        <f t="shared" si="4"/>
        <v>0.12997500551518251</v>
      </c>
      <c r="I16" s="28">
        <f t="shared" si="4"/>
        <v>0.1273861493377611</v>
      </c>
      <c r="J16" s="28">
        <f t="shared" si="4"/>
        <v>0.12937757095897515</v>
      </c>
      <c r="K16" s="28">
        <f t="shared" si="4"/>
        <v>0.1380419008681007</v>
      </c>
      <c r="L16" s="28">
        <f t="shared" si="4"/>
        <v>0.15213230137068723</v>
      </c>
    </row>
    <row r="17" spans="2:13" ht="14.65" outlineLevel="1" thickBot="1" x14ac:dyDescent="0.5"/>
    <row r="18" spans="2:13" ht="14.65" outlineLevel="1" thickBot="1" x14ac:dyDescent="0.5">
      <c r="B18" s="29" t="s">
        <v>95</v>
      </c>
      <c r="C18" s="30">
        <f>C12-C15</f>
        <v>2725.0400000000013</v>
      </c>
      <c r="D18" s="30">
        <f t="shared" ref="D18:L18" si="5">D12-D15</f>
        <v>2993.76</v>
      </c>
      <c r="E18" s="30">
        <f t="shared" si="5"/>
        <v>3204.0100000000011</v>
      </c>
      <c r="F18" s="30">
        <f t="shared" si="5"/>
        <v>3764.9400000000014</v>
      </c>
      <c r="G18" s="30">
        <f t="shared" si="5"/>
        <v>4161.7699999999977</v>
      </c>
      <c r="H18" s="30">
        <f t="shared" si="5"/>
        <v>4855.6000000000031</v>
      </c>
      <c r="I18" s="30">
        <f t="shared" si="5"/>
        <v>4803.6099999999988</v>
      </c>
      <c r="J18" s="30">
        <f t="shared" si="5"/>
        <v>6259.8399999999956</v>
      </c>
      <c r="K18" s="30">
        <f t="shared" si="5"/>
        <v>7584.9800000000014</v>
      </c>
      <c r="L18" s="30">
        <f t="shared" si="5"/>
        <v>6006.2100000000019</v>
      </c>
      <c r="M18" s="30">
        <f>M12-M15</f>
        <v>6345.5099999999984</v>
      </c>
    </row>
    <row r="19" spans="2:13" outlineLevel="1" x14ac:dyDescent="0.45">
      <c r="B19" s="27" t="s">
        <v>96</v>
      </c>
      <c r="C19" s="28">
        <f>C18/C6</f>
        <v>0.19094292186730338</v>
      </c>
      <c r="D19" s="28">
        <f t="shared" ref="D19:M19" si="6">D18/D6</f>
        <v>0.19876258050895004</v>
      </c>
      <c r="E19" s="28">
        <f t="shared" si="6"/>
        <v>0.19043659414367703</v>
      </c>
      <c r="F19" s="28">
        <f t="shared" si="6"/>
        <v>0.19568163000977651</v>
      </c>
      <c r="G19" s="28">
        <f t="shared" si="6"/>
        <v>0.2059135382522109</v>
      </c>
      <c r="H19" s="28">
        <f t="shared" si="6"/>
        <v>0.22362856178317034</v>
      </c>
      <c r="I19" s="28">
        <f t="shared" si="6"/>
        <v>0.16506524798909186</v>
      </c>
      <c r="J19" s="28">
        <f t="shared" si="6"/>
        <v>0.1815046657459756</v>
      </c>
      <c r="K19" s="28">
        <f t="shared" si="6"/>
        <v>0.21369313134654075</v>
      </c>
      <c r="L19" s="28">
        <f t="shared" si="6"/>
        <v>0.17714496888716388</v>
      </c>
      <c r="M19" s="28">
        <f t="shared" si="6"/>
        <v>0.18289012343010305</v>
      </c>
    </row>
    <row r="20" spans="2:13" outlineLevel="1" x14ac:dyDescent="0.45">
      <c r="B20" t="s">
        <v>10</v>
      </c>
      <c r="C20" s="25">
        <f>'Data Sheet (Input)'!B26</f>
        <v>275.58</v>
      </c>
      <c r="D20" s="25">
        <f>'Data Sheet (Input)'!C26</f>
        <v>334.79</v>
      </c>
      <c r="E20" s="25">
        <f>'Data Sheet (Input)'!D26</f>
        <v>360.47</v>
      </c>
      <c r="F20" s="25">
        <f>'Data Sheet (Input)'!E26</f>
        <v>622.14</v>
      </c>
      <c r="G20" s="25">
        <f>'Data Sheet (Input)'!F26</f>
        <v>780.5</v>
      </c>
      <c r="H20" s="25">
        <f>'Data Sheet (Input)'!G26</f>
        <v>791.27</v>
      </c>
      <c r="I20" s="25">
        <f>'Data Sheet (Input)'!H26</f>
        <v>816.36</v>
      </c>
      <c r="J20" s="25">
        <f>'Data Sheet (Input)'!I26</f>
        <v>858.02</v>
      </c>
      <c r="K20" s="25">
        <f>'Data Sheet (Input)'!J26</f>
        <v>853</v>
      </c>
      <c r="L20" s="25">
        <f>'Data Sheet (Input)'!K26</f>
        <v>1026.3399999999999</v>
      </c>
      <c r="M20" s="25">
        <f>SUM('Data Sheet (Input)'!H45:K45)</f>
        <v>1219.97</v>
      </c>
    </row>
    <row r="21" spans="2:13" ht="14.65" outlineLevel="1" thickBot="1" x14ac:dyDescent="0.5"/>
    <row r="22" spans="2:13" ht="14.65" outlineLevel="1" thickBot="1" x14ac:dyDescent="0.5">
      <c r="B22" s="29" t="s">
        <v>97</v>
      </c>
      <c r="C22" s="30">
        <f>C18-C20</f>
        <v>2449.4600000000014</v>
      </c>
      <c r="D22" s="30">
        <f t="shared" ref="D22:L22" si="7">D18-D20</f>
        <v>2658.9700000000003</v>
      </c>
      <c r="E22" s="30">
        <f t="shared" si="7"/>
        <v>2843.5400000000009</v>
      </c>
      <c r="F22" s="30">
        <f t="shared" si="7"/>
        <v>3142.8000000000015</v>
      </c>
      <c r="G22" s="30">
        <f t="shared" si="7"/>
        <v>3381.2699999999977</v>
      </c>
      <c r="H22" s="30">
        <f t="shared" si="7"/>
        <v>4064.3300000000031</v>
      </c>
      <c r="I22" s="30">
        <f t="shared" si="7"/>
        <v>3987.2499999999986</v>
      </c>
      <c r="J22" s="30">
        <f t="shared" si="7"/>
        <v>5401.8199999999961</v>
      </c>
      <c r="K22" s="30">
        <f t="shared" si="7"/>
        <v>6731.9800000000014</v>
      </c>
      <c r="L22" s="30">
        <f t="shared" si="7"/>
        <v>4979.8700000000017</v>
      </c>
      <c r="M22" s="30">
        <f>M18-M20</f>
        <v>5125.5399999999981</v>
      </c>
    </row>
    <row r="23" spans="2:13" outlineLevel="1" x14ac:dyDescent="0.45">
      <c r="B23" t="s">
        <v>98</v>
      </c>
      <c r="C23" s="25">
        <f>'Data Sheet (Input)'!B25</f>
        <v>213.39</v>
      </c>
      <c r="D23" s="25">
        <f>'Data Sheet (Input)'!C25</f>
        <v>337.9</v>
      </c>
      <c r="E23" s="25">
        <f>'Data Sheet (Input)'!D25</f>
        <v>336.41</v>
      </c>
      <c r="F23" s="25">
        <f>'Data Sheet (Input)'!E25</f>
        <v>273.77</v>
      </c>
      <c r="G23" s="25">
        <f>'Data Sheet (Input)'!F25</f>
        <v>350.1</v>
      </c>
      <c r="H23" s="25">
        <f>'Data Sheet (Input)'!G25</f>
        <v>331.65</v>
      </c>
      <c r="I23" s="25">
        <f>'Data Sheet (Input)'!H25</f>
        <v>295.88</v>
      </c>
      <c r="J23" s="25">
        <f>'Data Sheet (Input)'!I25</f>
        <v>431.46</v>
      </c>
      <c r="K23" s="25">
        <f>'Data Sheet (Input)'!J25</f>
        <v>820.96</v>
      </c>
      <c r="L23" s="25">
        <f>'Data Sheet (Input)'!K25</f>
        <v>350.22</v>
      </c>
      <c r="M23" s="25">
        <f>SUM('Data Sheet (Input)'!H44:K44)</f>
        <v>475.13</v>
      </c>
    </row>
    <row r="24" spans="2:13" outlineLevel="1" x14ac:dyDescent="0.45">
      <c r="B24" t="s">
        <v>11</v>
      </c>
      <c r="C24" s="25">
        <f>'Data Sheet (Input)'!B27</f>
        <v>49</v>
      </c>
      <c r="D24" s="25">
        <f>'Data Sheet (Input)'!C27</f>
        <v>37.33</v>
      </c>
      <c r="E24" s="25">
        <f>'Data Sheet (Input)'!D27</f>
        <v>41.47</v>
      </c>
      <c r="F24" s="25">
        <f>'Data Sheet (Input)'!E27</f>
        <v>110.47</v>
      </c>
      <c r="G24" s="25">
        <f>'Data Sheet (Input)'!F27</f>
        <v>102.33</v>
      </c>
      <c r="H24" s="25">
        <f>'Data Sheet (Input)'!G27</f>
        <v>91.63</v>
      </c>
      <c r="I24" s="25">
        <f>'Data Sheet (Input)'!H27</f>
        <v>95.41</v>
      </c>
      <c r="J24" s="25">
        <f>'Data Sheet (Input)'!I27</f>
        <v>144.44999999999999</v>
      </c>
      <c r="K24" s="25">
        <f>'Data Sheet (Input)'!J27</f>
        <v>205.17</v>
      </c>
      <c r="L24" s="25">
        <f>'Data Sheet (Input)'!K27</f>
        <v>227.02</v>
      </c>
      <c r="M24" s="25">
        <f>SUM('Data Sheet (Input)'!H46:K46)</f>
        <v>189.1</v>
      </c>
    </row>
    <row r="25" spans="2:13" ht="14.65" outlineLevel="1" thickBot="1" x14ac:dyDescent="0.5"/>
    <row r="26" spans="2:13" ht="14.65" outlineLevel="1" thickBot="1" x14ac:dyDescent="0.5">
      <c r="B26" s="29" t="s">
        <v>99</v>
      </c>
      <c r="C26" s="30">
        <f>C22+C23-C24</f>
        <v>2613.8500000000013</v>
      </c>
      <c r="D26" s="30">
        <f t="shared" ref="D26:M26" si="8">D22+D23-D24</f>
        <v>2959.5400000000004</v>
      </c>
      <c r="E26" s="30">
        <f t="shared" si="8"/>
        <v>3138.4800000000009</v>
      </c>
      <c r="F26" s="30">
        <f t="shared" si="8"/>
        <v>3306.1000000000017</v>
      </c>
      <c r="G26" s="30">
        <f t="shared" si="8"/>
        <v>3629.0399999999977</v>
      </c>
      <c r="H26" s="30">
        <f t="shared" si="8"/>
        <v>4304.3500000000031</v>
      </c>
      <c r="I26" s="30">
        <f t="shared" si="8"/>
        <v>4187.7199999999984</v>
      </c>
      <c r="J26" s="30">
        <f t="shared" si="8"/>
        <v>5688.8299999999963</v>
      </c>
      <c r="K26" s="30">
        <f t="shared" si="8"/>
        <v>7347.7700000000013</v>
      </c>
      <c r="L26" s="30">
        <f t="shared" si="8"/>
        <v>5103.0700000000015</v>
      </c>
      <c r="M26" s="30">
        <f t="shared" si="8"/>
        <v>5411.5699999999979</v>
      </c>
    </row>
    <row r="27" spans="2:13" outlineLevel="1" x14ac:dyDescent="0.45">
      <c r="B27" s="27" t="s">
        <v>100</v>
      </c>
      <c r="C27" s="28">
        <f>C26/C6</f>
        <v>0.18315186431129485</v>
      </c>
      <c r="D27" s="28">
        <f t="shared" ref="D27:L27" si="9">D26/D6</f>
        <v>0.19649063636345532</v>
      </c>
      <c r="E27" s="28">
        <f t="shared" si="9"/>
        <v>0.18654169056527523</v>
      </c>
      <c r="F27" s="28">
        <f t="shared" si="9"/>
        <v>0.17183355829716335</v>
      </c>
      <c r="G27" s="28">
        <f t="shared" si="9"/>
        <v>0.17955544560578873</v>
      </c>
      <c r="H27" s="28">
        <f t="shared" si="9"/>
        <v>0.19824029984170632</v>
      </c>
      <c r="I27" s="28">
        <f t="shared" si="9"/>
        <v>0.14390157408883728</v>
      </c>
      <c r="J27" s="28">
        <f t="shared" si="9"/>
        <v>0.16494817561402181</v>
      </c>
      <c r="K27" s="28">
        <f t="shared" si="9"/>
        <v>0.20701016742485437</v>
      </c>
      <c r="L27" s="28">
        <f t="shared" si="9"/>
        <v>0.15050808685993652</v>
      </c>
      <c r="M27" s="28">
        <f>M26/M6</f>
        <v>0.15597212915126488</v>
      </c>
    </row>
    <row r="28" spans="2:13" outlineLevel="1" x14ac:dyDescent="0.45"/>
    <row r="29" spans="2:13" outlineLevel="1" x14ac:dyDescent="0.45">
      <c r="B29" t="s">
        <v>101</v>
      </c>
      <c r="C29" s="25">
        <f>'Data Sheet (Input)'!B29</f>
        <v>844.49</v>
      </c>
      <c r="D29" s="25">
        <f>'Data Sheet (Input)'!C29</f>
        <v>943.29</v>
      </c>
      <c r="E29" s="25">
        <f>'Data Sheet (Input)'!D29</f>
        <v>1040.96</v>
      </c>
      <c r="F29" s="25">
        <f>'Data Sheet (Input)'!E29</f>
        <v>1098.06</v>
      </c>
      <c r="G29" s="25">
        <f>'Data Sheet (Input)'!F29</f>
        <v>854.85</v>
      </c>
      <c r="H29" s="25">
        <f>'Data Sheet (Input)'!G29</f>
        <v>1097.5999999999999</v>
      </c>
      <c r="I29" s="25">
        <f>'Data Sheet (Input)'!H29</f>
        <v>1102.9100000000001</v>
      </c>
      <c r="J29" s="25">
        <f>'Data Sheet (Input)'!I29</f>
        <v>1493.5</v>
      </c>
      <c r="K29" s="25">
        <f>'Data Sheet (Input)'!J29</f>
        <v>1790.08</v>
      </c>
      <c r="L29" s="25">
        <f>'Data Sheet (Input)'!K29</f>
        <v>1393.36</v>
      </c>
      <c r="M29" s="25">
        <f>SUM('Data Sheet (Input)'!H48:K48)</f>
        <v>1501.5400000000002</v>
      </c>
    </row>
    <row r="30" spans="2:13" outlineLevel="1" x14ac:dyDescent="0.45">
      <c r="B30" s="27" t="s">
        <v>102</v>
      </c>
      <c r="C30" s="28">
        <f>C29/C26</f>
        <v>0.32308280888344765</v>
      </c>
      <c r="D30" s="28">
        <f t="shared" ref="D30:M30" si="10">D29/D26</f>
        <v>0.31872858619920658</v>
      </c>
      <c r="E30" s="28">
        <f t="shared" si="10"/>
        <v>0.33167648033442931</v>
      </c>
      <c r="F30" s="28">
        <f t="shared" si="10"/>
        <v>0.33213151447324624</v>
      </c>
      <c r="G30" s="28">
        <f t="shared" si="10"/>
        <v>0.23555816414258332</v>
      </c>
      <c r="H30" s="28">
        <f t="shared" si="10"/>
        <v>0.25499785101118616</v>
      </c>
      <c r="I30" s="28">
        <f t="shared" si="10"/>
        <v>0.26336765590822703</v>
      </c>
      <c r="J30" s="28">
        <f t="shared" si="10"/>
        <v>0.26253201449155644</v>
      </c>
      <c r="K30" s="28">
        <f t="shared" si="10"/>
        <v>0.2436222146311057</v>
      </c>
      <c r="L30" s="28">
        <f t="shared" si="10"/>
        <v>0.27304348166887765</v>
      </c>
      <c r="M30" s="28">
        <f t="shared" si="10"/>
        <v>0.277468461093546</v>
      </c>
    </row>
    <row r="31" spans="2:13" ht="14.65" outlineLevel="1" thickBot="1" x14ac:dyDescent="0.5"/>
    <row r="32" spans="2:13" ht="14.65" outlineLevel="1" thickBot="1" x14ac:dyDescent="0.5">
      <c r="B32" s="29" t="s">
        <v>103</v>
      </c>
      <c r="C32" s="30">
        <f>C26-C29</f>
        <v>1769.3600000000013</v>
      </c>
      <c r="D32" s="30">
        <f t="shared" ref="D32:M32" si="11">D26-D29</f>
        <v>2016.2500000000005</v>
      </c>
      <c r="E32" s="30">
        <f t="shared" si="11"/>
        <v>2097.5200000000009</v>
      </c>
      <c r="F32" s="30">
        <f t="shared" si="11"/>
        <v>2208.0400000000018</v>
      </c>
      <c r="G32" s="30">
        <f t="shared" si="11"/>
        <v>2774.1899999999978</v>
      </c>
      <c r="H32" s="30">
        <f t="shared" si="11"/>
        <v>3206.7500000000032</v>
      </c>
      <c r="I32" s="30">
        <f t="shared" si="11"/>
        <v>3084.8099999999986</v>
      </c>
      <c r="J32" s="30">
        <f t="shared" si="11"/>
        <v>4195.3299999999963</v>
      </c>
      <c r="K32" s="30">
        <f t="shared" si="11"/>
        <v>5557.6900000000014</v>
      </c>
      <c r="L32" s="30">
        <f t="shared" si="11"/>
        <v>3709.7100000000019</v>
      </c>
      <c r="M32" s="30">
        <f t="shared" si="11"/>
        <v>3910.0299999999979</v>
      </c>
    </row>
    <row r="33" spans="1:13" outlineLevel="1" x14ac:dyDescent="0.45">
      <c r="B33" s="27" t="s">
        <v>104</v>
      </c>
      <c r="C33" s="28">
        <f>C32/C6</f>
        <v>0.12397864553736164</v>
      </c>
      <c r="D33" s="28">
        <f t="shared" ref="D33:M33" si="12">D32/D6</f>
        <v>0.1338634536339488</v>
      </c>
      <c r="E33" s="28">
        <f t="shared" si="12"/>
        <v>0.12467019920295051</v>
      </c>
      <c r="F33" s="28">
        <f t="shared" si="12"/>
        <v>0.11476221834259964</v>
      </c>
      <c r="G33" s="28">
        <f t="shared" si="12"/>
        <v>0.13725969447708566</v>
      </c>
      <c r="H33" s="28">
        <f t="shared" si="12"/>
        <v>0.14768944939825804</v>
      </c>
      <c r="I33" s="28">
        <f t="shared" si="12"/>
        <v>0.10600255383955616</v>
      </c>
      <c r="J33" s="28">
        <f t="shared" si="12"/>
        <v>0.12164399878336565</v>
      </c>
      <c r="K33" s="28">
        <f t="shared" si="12"/>
        <v>0.15657789198565536</v>
      </c>
      <c r="L33" s="28">
        <f t="shared" si="12"/>
        <v>0.10941283480437761</v>
      </c>
      <c r="M33" s="28">
        <f t="shared" si="12"/>
        <v>0.1126947825021796</v>
      </c>
    </row>
    <row r="34" spans="1:13" outlineLevel="1" x14ac:dyDescent="0.45"/>
    <row r="35" spans="1:13" outlineLevel="1" x14ac:dyDescent="0.45"/>
    <row r="36" spans="1:13" outlineLevel="1" x14ac:dyDescent="0.45">
      <c r="B36" t="s">
        <v>105</v>
      </c>
      <c r="C36">
        <f>'Data Sheet (Input)'!B93</f>
        <v>95.92</v>
      </c>
      <c r="D36">
        <f>'Data Sheet (Input)'!C93</f>
        <v>95.92</v>
      </c>
      <c r="E36">
        <f>'Data Sheet (Input)'!D93</f>
        <v>95.92</v>
      </c>
      <c r="F36">
        <f>'Data Sheet (Input)'!E93</f>
        <v>95.92</v>
      </c>
      <c r="G36">
        <f>'Data Sheet (Input)'!F93</f>
        <v>95.92</v>
      </c>
      <c r="H36">
        <f>'Data Sheet (Input)'!G93</f>
        <v>95.92</v>
      </c>
      <c r="I36">
        <f>'Data Sheet (Input)'!H93</f>
        <v>95.92</v>
      </c>
      <c r="J36">
        <f>'Data Sheet (Input)'!I93</f>
        <v>95.92</v>
      </c>
      <c r="K36">
        <f>'Data Sheet (Input)'!J93</f>
        <v>95.92</v>
      </c>
      <c r="L36">
        <f>'Data Sheet (Input)'!K93</f>
        <v>95.92</v>
      </c>
      <c r="M36">
        <f>L36</f>
        <v>95.92</v>
      </c>
    </row>
    <row r="37" spans="1:13" outlineLevel="1" x14ac:dyDescent="0.45">
      <c r="B37" t="s">
        <v>106</v>
      </c>
      <c r="C37" s="25">
        <f>C32/C36</f>
        <v>18.446205170975826</v>
      </c>
      <c r="D37" s="25">
        <f t="shared" ref="D37:M37" si="13">D32/D36</f>
        <v>21.020120934111763</v>
      </c>
      <c r="E37" s="25">
        <f t="shared" si="13"/>
        <v>21.867389491242712</v>
      </c>
      <c r="F37" s="25">
        <f t="shared" si="13"/>
        <v>23.019599666388675</v>
      </c>
      <c r="G37" s="25">
        <f t="shared" si="13"/>
        <v>28.92191409507921</v>
      </c>
      <c r="H37" s="25">
        <f t="shared" si="13"/>
        <v>33.431505421184355</v>
      </c>
      <c r="I37" s="25">
        <f t="shared" si="13"/>
        <v>32.160237698081723</v>
      </c>
      <c r="J37" s="25">
        <f t="shared" si="13"/>
        <v>43.737802335279362</v>
      </c>
      <c r="K37" s="25">
        <f t="shared" si="13"/>
        <v>57.940888240200181</v>
      </c>
      <c r="L37" s="25">
        <f t="shared" si="13"/>
        <v>38.675041701417868</v>
      </c>
      <c r="M37" s="25">
        <f t="shared" si="13"/>
        <v>40.763448707256025</v>
      </c>
    </row>
    <row r="38" spans="1:13" outlineLevel="1" x14ac:dyDescent="0.45">
      <c r="B38" s="27" t="s">
        <v>107</v>
      </c>
      <c r="C38" s="31" t="s">
        <v>88</v>
      </c>
      <c r="D38" s="28">
        <f>D37/C37-1</f>
        <v>0.13953632952027784</v>
      </c>
      <c r="E38" s="28">
        <f t="shared" ref="E38:M38" si="14">E37/D37-1</f>
        <v>4.0307501549907254E-2</v>
      </c>
      <c r="F38" s="28">
        <f t="shared" si="14"/>
        <v>5.2690796750448632E-2</v>
      </c>
      <c r="G38" s="28">
        <f t="shared" si="14"/>
        <v>0.25640386949511584</v>
      </c>
      <c r="H38" s="28">
        <f t="shared" si="14"/>
        <v>0.1559229901340593</v>
      </c>
      <c r="I38" s="28">
        <f t="shared" si="14"/>
        <v>-3.8026038824356179E-2</v>
      </c>
      <c r="J38" s="28">
        <f t="shared" si="14"/>
        <v>0.35999623963874527</v>
      </c>
      <c r="K38" s="28">
        <f t="shared" si="14"/>
        <v>0.32473250018473077</v>
      </c>
      <c r="L38" s="28">
        <f t="shared" si="14"/>
        <v>-0.33250865017660192</v>
      </c>
      <c r="M38" s="28">
        <f t="shared" si="14"/>
        <v>5.3998830097230277E-2</v>
      </c>
    </row>
    <row r="39" spans="1:13" outlineLevel="1" x14ac:dyDescent="0.45"/>
    <row r="40" spans="1:13" outlineLevel="1" x14ac:dyDescent="0.45">
      <c r="B40" t="s">
        <v>108</v>
      </c>
      <c r="C40" s="25">
        <f>'Data Sheet (Input)'!B31/'3 Statement Model'!C36</f>
        <v>7.5</v>
      </c>
      <c r="D40" s="25">
        <f>'Data Sheet (Input)'!C31/'3 Statement Model'!D36</f>
        <v>10.300041701417848</v>
      </c>
      <c r="E40" s="25">
        <f>'Data Sheet (Input)'!D31/'3 Statement Model'!E36</f>
        <v>8.6999582985821515</v>
      </c>
      <c r="F40" s="25">
        <f>'Data Sheet (Input)'!E31/'3 Statement Model'!F36</f>
        <v>10.5</v>
      </c>
      <c r="G40" s="25">
        <f>'Data Sheet (Input)'!F31/'3 Statement Model'!G36</f>
        <v>12</v>
      </c>
      <c r="H40" s="25">
        <f>'Data Sheet (Input)'!G31/'3 Statement Model'!H36</f>
        <v>17.849979149291077</v>
      </c>
      <c r="I40" s="25">
        <f>'Data Sheet (Input)'!H31/'3 Statement Model'!I36</f>
        <v>19.150020850708923</v>
      </c>
      <c r="J40" s="25">
        <f>'Data Sheet (Input)'!I31/'3 Statement Model'!J36</f>
        <v>25.650020850708923</v>
      </c>
      <c r="K40" s="25">
        <f>'Data Sheet (Input)'!J31/'3 Statement Model'!K36</f>
        <v>33.300041701417847</v>
      </c>
      <c r="L40" s="25">
        <f>'Data Sheet (Input)'!K31/'3 Statement Model'!L36</f>
        <v>24.80004170141785</v>
      </c>
    </row>
    <row r="41" spans="1:13" outlineLevel="1" x14ac:dyDescent="0.45">
      <c r="B41" t="s">
        <v>109</v>
      </c>
      <c r="C41" s="26">
        <f>C40/C37</f>
        <v>0.40658769272505285</v>
      </c>
      <c r="D41" s="26">
        <f t="shared" ref="D41:L41" si="15">D40/D37</f>
        <v>0.49000867947923121</v>
      </c>
      <c r="E41" s="26">
        <f t="shared" si="15"/>
        <v>0.3978507952248368</v>
      </c>
      <c r="F41" s="26">
        <f t="shared" si="15"/>
        <v>0.45613304106809621</v>
      </c>
      <c r="G41" s="26">
        <f t="shared" si="15"/>
        <v>0.41491029814107933</v>
      </c>
      <c r="H41" s="26">
        <f t="shared" si="15"/>
        <v>0.53392687300226038</v>
      </c>
      <c r="I41" s="26">
        <f t="shared" si="15"/>
        <v>0.59545644626411376</v>
      </c>
      <c r="J41" s="26">
        <f t="shared" si="15"/>
        <v>0.58644969525639268</v>
      </c>
      <c r="K41" s="26">
        <f t="shared" si="15"/>
        <v>0.57472439088902028</v>
      </c>
      <c r="L41" s="26">
        <f t="shared" si="15"/>
        <v>0.64124149866162017</v>
      </c>
      <c r="M41" s="26"/>
    </row>
    <row r="42" spans="1:13" outlineLevel="1" x14ac:dyDescent="0.45">
      <c r="B42" t="s">
        <v>110</v>
      </c>
      <c r="C42" s="5">
        <f>1-C41</f>
        <v>0.59341230727494709</v>
      </c>
      <c r="D42" s="5">
        <f t="shared" ref="D42:L42" si="16">1-D41</f>
        <v>0.50999132052076879</v>
      </c>
      <c r="E42" s="5">
        <f t="shared" si="16"/>
        <v>0.6021492047751632</v>
      </c>
      <c r="F42" s="5">
        <f t="shared" si="16"/>
        <v>0.54386695893190384</v>
      </c>
      <c r="G42" s="5">
        <f t="shared" si="16"/>
        <v>0.58508970185892073</v>
      </c>
      <c r="H42" s="5">
        <f t="shared" si="16"/>
        <v>0.46607312699773962</v>
      </c>
      <c r="I42" s="5">
        <f t="shared" si="16"/>
        <v>0.40454355373588624</v>
      </c>
      <c r="J42" s="5">
        <f t="shared" si="16"/>
        <v>0.41355030474360732</v>
      </c>
      <c r="K42" s="5">
        <f t="shared" si="16"/>
        <v>0.42527560911097972</v>
      </c>
      <c r="L42" s="5">
        <f t="shared" si="16"/>
        <v>0.35875850133837983</v>
      </c>
    </row>
    <row r="44" spans="1:13" x14ac:dyDescent="0.45">
      <c r="A44" t="s">
        <v>84</v>
      </c>
      <c r="B44" s="24" t="s">
        <v>111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</row>
    <row r="45" spans="1:13" outlineLevel="1" x14ac:dyDescent="0.45"/>
    <row r="46" spans="1:13" outlineLevel="1" x14ac:dyDescent="0.45">
      <c r="B46" t="s">
        <v>24</v>
      </c>
      <c r="C46" s="25">
        <f>'Data Sheet (Input)'!B57</f>
        <v>95.92</v>
      </c>
      <c r="D46" s="25">
        <f>'Data Sheet (Input)'!C57</f>
        <v>95.92</v>
      </c>
      <c r="E46" s="25">
        <f>'Data Sheet (Input)'!D57</f>
        <v>95.92</v>
      </c>
      <c r="F46" s="25">
        <f>'Data Sheet (Input)'!E57</f>
        <v>95.92</v>
      </c>
      <c r="G46" s="25">
        <f>'Data Sheet (Input)'!F57</f>
        <v>95.92</v>
      </c>
      <c r="H46" s="25">
        <f>'Data Sheet (Input)'!G57</f>
        <v>95.92</v>
      </c>
      <c r="I46" s="25">
        <f>'Data Sheet (Input)'!H57</f>
        <v>95.92</v>
      </c>
      <c r="J46" s="25">
        <f>'Data Sheet (Input)'!I57</f>
        <v>95.92</v>
      </c>
      <c r="K46" s="25">
        <f>'Data Sheet (Input)'!J57</f>
        <v>95.92</v>
      </c>
      <c r="L46" s="25">
        <f>'Data Sheet (Input)'!K57</f>
        <v>95.92</v>
      </c>
    </row>
    <row r="47" spans="1:13" outlineLevel="1" x14ac:dyDescent="0.45">
      <c r="B47" t="s">
        <v>25</v>
      </c>
      <c r="C47" s="25">
        <f>'Data Sheet (Input)'!B58</f>
        <v>6428.9</v>
      </c>
      <c r="D47" s="25">
        <f>'Data Sheet (Input)'!C58</f>
        <v>7507.97</v>
      </c>
      <c r="E47" s="25">
        <f>'Data Sheet (Input)'!D58</f>
        <v>8314.31</v>
      </c>
      <c r="F47" s="25">
        <f>'Data Sheet (Input)'!E58</f>
        <v>9374.6299999999992</v>
      </c>
      <c r="G47" s="25">
        <f>'Data Sheet (Input)'!F58</f>
        <v>10034.24</v>
      </c>
      <c r="H47" s="25">
        <f>'Data Sheet (Input)'!G58</f>
        <v>12710.37</v>
      </c>
      <c r="I47" s="25">
        <f>'Data Sheet (Input)'!H58</f>
        <v>13715.64</v>
      </c>
      <c r="J47" s="25">
        <f>'Data Sheet (Input)'!I58</f>
        <v>15896.31</v>
      </c>
      <c r="K47" s="25">
        <f>'Data Sheet (Input)'!J58</f>
        <v>18632.38</v>
      </c>
      <c r="L47" s="25">
        <f>'Data Sheet (Input)'!K58</f>
        <v>19303.89</v>
      </c>
    </row>
    <row r="48" spans="1:13" outlineLevel="1" x14ac:dyDescent="0.45">
      <c r="B48" t="s">
        <v>62</v>
      </c>
      <c r="C48" s="25">
        <f>'Data Sheet (Input)'!B59</f>
        <v>323.29000000000002</v>
      </c>
      <c r="D48" s="25">
        <f>'Data Sheet (Input)'!C59</f>
        <v>560.34</v>
      </c>
      <c r="E48" s="25">
        <f>'Data Sheet (Input)'!D59</f>
        <v>533.42999999999995</v>
      </c>
      <c r="F48" s="25">
        <f>'Data Sheet (Input)'!E59</f>
        <v>1319.6</v>
      </c>
      <c r="G48" s="25">
        <f>'Data Sheet (Input)'!F59</f>
        <v>1118.5</v>
      </c>
      <c r="H48" s="25">
        <f>'Data Sheet (Input)'!G59</f>
        <v>1093.1199999999999</v>
      </c>
      <c r="I48" s="25">
        <f>'Data Sheet (Input)'!H59</f>
        <v>1586.88</v>
      </c>
      <c r="J48" s="25">
        <f>'Data Sheet (Input)'!I59</f>
        <v>1932.62</v>
      </c>
      <c r="K48" s="25">
        <f>'Data Sheet (Input)'!J59</f>
        <v>2474.38</v>
      </c>
      <c r="L48" s="25">
        <f>'Data Sheet (Input)'!K59</f>
        <v>2290.29</v>
      </c>
    </row>
    <row r="49" spans="2:12" outlineLevel="1" x14ac:dyDescent="0.45">
      <c r="B49" t="s">
        <v>63</v>
      </c>
      <c r="C49" s="25">
        <f>'Data Sheet (Input)'!B60</f>
        <v>3710.92</v>
      </c>
      <c r="D49" s="25">
        <f>'Data Sheet (Input)'!C60</f>
        <v>4240.96</v>
      </c>
      <c r="E49" s="25">
        <f>'Data Sheet (Input)'!D60</f>
        <v>4819.82</v>
      </c>
      <c r="F49" s="25">
        <f>'Data Sheet (Input)'!E60</f>
        <v>5458.69</v>
      </c>
      <c r="G49" s="25">
        <f>'Data Sheet (Input)'!F60</f>
        <v>4889.3100000000004</v>
      </c>
      <c r="H49" s="25">
        <f>'Data Sheet (Input)'!G60</f>
        <v>6455.93</v>
      </c>
      <c r="I49" s="25">
        <f>'Data Sheet (Input)'!H60</f>
        <v>7559.99</v>
      </c>
      <c r="J49" s="25">
        <f>'Data Sheet (Input)'!I60</f>
        <v>7854.48</v>
      </c>
      <c r="K49" s="25">
        <f>'Data Sheet (Input)'!J60</f>
        <v>8698.09</v>
      </c>
      <c r="L49" s="25">
        <f>'Data Sheet (Input)'!K60</f>
        <v>8665.15</v>
      </c>
    </row>
    <row r="50" spans="2:12" ht="14.65" outlineLevel="1" thickBot="1" x14ac:dyDescent="0.5"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 spans="2:12" ht="14.65" outlineLevel="1" thickBot="1" x14ac:dyDescent="0.5">
      <c r="B51" s="29" t="s">
        <v>112</v>
      </c>
      <c r="C51" s="30">
        <f t="shared" ref="C51:L51" si="17">SUM(C46:C49)</f>
        <v>10559.029999999999</v>
      </c>
      <c r="D51" s="30">
        <f t="shared" si="17"/>
        <v>12405.19</v>
      </c>
      <c r="E51" s="30">
        <f t="shared" si="17"/>
        <v>13763.48</v>
      </c>
      <c r="F51" s="30">
        <f t="shared" si="17"/>
        <v>16248.84</v>
      </c>
      <c r="G51" s="30">
        <f t="shared" si="17"/>
        <v>16137.970000000001</v>
      </c>
      <c r="H51" s="30">
        <f t="shared" si="17"/>
        <v>20355.34</v>
      </c>
      <c r="I51" s="30">
        <f t="shared" si="17"/>
        <v>22958.43</v>
      </c>
      <c r="J51" s="30">
        <f t="shared" si="17"/>
        <v>25779.329999999998</v>
      </c>
      <c r="K51" s="30">
        <f t="shared" si="17"/>
        <v>29900.77</v>
      </c>
      <c r="L51" s="30">
        <f t="shared" si="17"/>
        <v>30355.25</v>
      </c>
    </row>
    <row r="52" spans="2:12" outlineLevel="1" x14ac:dyDescent="0.45"/>
    <row r="53" spans="2:12" outlineLevel="1" x14ac:dyDescent="0.45">
      <c r="B53" t="s">
        <v>113</v>
      </c>
      <c r="C53" s="25">
        <f>'Data Sheet (Input)'!B62</f>
        <v>3416.35</v>
      </c>
      <c r="D53" s="25">
        <f>'Data Sheet (Input)'!C62</f>
        <v>3303.74</v>
      </c>
      <c r="E53" s="25">
        <f>'Data Sheet (Input)'!D62</f>
        <v>3732.24</v>
      </c>
      <c r="F53" s="25">
        <f>'Data Sheet (Input)'!E62</f>
        <v>6496.56</v>
      </c>
      <c r="G53" s="25">
        <f>'Data Sheet (Input)'!F62</f>
        <v>6272.31</v>
      </c>
      <c r="H53" s="25">
        <f>'Data Sheet (Input)'!G62</f>
        <v>5858.52</v>
      </c>
      <c r="I53" s="25">
        <f>'Data Sheet (Input)'!H62</f>
        <v>5519.06</v>
      </c>
      <c r="J53" s="25">
        <f>'Data Sheet (Input)'!I62</f>
        <v>5770.46</v>
      </c>
      <c r="K53" s="25">
        <f>'Data Sheet (Input)'!J62</f>
        <v>7146.62</v>
      </c>
      <c r="L53" s="25">
        <f>'Data Sheet (Input)'!K62</f>
        <v>9220.1</v>
      </c>
    </row>
    <row r="54" spans="2:12" outlineLevel="1" x14ac:dyDescent="0.45">
      <c r="B54" t="s">
        <v>28</v>
      </c>
      <c r="C54" s="25">
        <f>'Data Sheet (Input)'!B63</f>
        <v>106.59</v>
      </c>
      <c r="D54" s="25">
        <f>'Data Sheet (Input)'!C63</f>
        <v>257.54000000000002</v>
      </c>
      <c r="E54" s="25">
        <f>'Data Sheet (Input)'!D63</f>
        <v>1405.11</v>
      </c>
      <c r="F54" s="25">
        <f>'Data Sheet (Input)'!E63</f>
        <v>209.67</v>
      </c>
      <c r="G54" s="25">
        <f>'Data Sheet (Input)'!F63</f>
        <v>140.24</v>
      </c>
      <c r="H54" s="25">
        <f>'Data Sheet (Input)'!G63</f>
        <v>182.98</v>
      </c>
      <c r="I54" s="25">
        <f>'Data Sheet (Input)'!H63</f>
        <v>426.43</v>
      </c>
      <c r="J54" s="25">
        <f>'Data Sheet (Input)'!I63</f>
        <v>1019.59</v>
      </c>
      <c r="K54" s="25">
        <f>'Data Sheet (Input)'!J63</f>
        <v>2698.37</v>
      </c>
      <c r="L54" s="25">
        <f>'Data Sheet (Input)'!K63</f>
        <v>1254.49</v>
      </c>
    </row>
    <row r="55" spans="2:12" ht="14.65" outlineLevel="1" thickBot="1" x14ac:dyDescent="0.5">
      <c r="B55" t="s">
        <v>29</v>
      </c>
      <c r="C55" s="25">
        <f>'Data Sheet (Input)'!B64</f>
        <v>2712.13</v>
      </c>
      <c r="D55" s="25">
        <f>'Data Sheet (Input)'!C64</f>
        <v>2651.99</v>
      </c>
      <c r="E55" s="25">
        <f>'Data Sheet (Input)'!D64</f>
        <v>2140.6999999999998</v>
      </c>
      <c r="F55" s="25">
        <f>'Data Sheet (Input)'!E64</f>
        <v>2568.58</v>
      </c>
      <c r="G55" s="25">
        <f>'Data Sheet (Input)'!F64</f>
        <v>2018.85</v>
      </c>
      <c r="H55" s="25">
        <f>'Data Sheet (Input)'!G64</f>
        <v>4736.8</v>
      </c>
      <c r="I55" s="25">
        <f>'Data Sheet (Input)'!H64</f>
        <v>3247.53</v>
      </c>
      <c r="J55" s="25">
        <f>'Data Sheet (Input)'!I64</f>
        <v>4261.71</v>
      </c>
      <c r="K55" s="25">
        <f>'Data Sheet (Input)'!J64</f>
        <v>4587.92</v>
      </c>
      <c r="L55" s="25">
        <f>'Data Sheet (Input)'!K64</f>
        <v>4724.75</v>
      </c>
    </row>
    <row r="56" spans="2:12" ht="14.65" outlineLevel="1" thickBot="1" x14ac:dyDescent="0.5">
      <c r="B56" s="29" t="s">
        <v>114</v>
      </c>
      <c r="C56" s="30">
        <f>SUM(C53:C55)</f>
        <v>6235.07</v>
      </c>
      <c r="D56" s="30">
        <f t="shared" ref="D56:K56" si="18">SUM(D53:D55)</f>
        <v>6213.2699999999995</v>
      </c>
      <c r="E56" s="30">
        <f t="shared" si="18"/>
        <v>7278.0499999999993</v>
      </c>
      <c r="F56" s="30">
        <f t="shared" si="18"/>
        <v>9274.8100000000013</v>
      </c>
      <c r="G56" s="30">
        <f t="shared" si="18"/>
        <v>8431.4</v>
      </c>
      <c r="H56" s="30">
        <f t="shared" si="18"/>
        <v>10778.3</v>
      </c>
      <c r="I56" s="30">
        <f t="shared" si="18"/>
        <v>9193.02</v>
      </c>
      <c r="J56" s="30">
        <f t="shared" si="18"/>
        <v>11051.76</v>
      </c>
      <c r="K56" s="30">
        <f t="shared" si="18"/>
        <v>14432.91</v>
      </c>
      <c r="L56" s="30">
        <f>SUM(L53:L55)</f>
        <v>15199.34</v>
      </c>
    </row>
    <row r="57" spans="2:12" outlineLevel="1" x14ac:dyDescent="0.45"/>
    <row r="58" spans="2:12" outlineLevel="1" x14ac:dyDescent="0.45">
      <c r="B58" t="s">
        <v>69</v>
      </c>
      <c r="C58" s="25">
        <f>'Data Sheet (Input)'!B67</f>
        <v>1186.8399999999999</v>
      </c>
      <c r="D58" s="25">
        <f>'Data Sheet (Input)'!C67</f>
        <v>1446.6</v>
      </c>
      <c r="E58" s="25">
        <f>'Data Sheet (Input)'!D67</f>
        <v>1730.63</v>
      </c>
      <c r="F58" s="25">
        <f>'Data Sheet (Input)'!E67</f>
        <v>1907.33</v>
      </c>
      <c r="G58" s="25">
        <f>'Data Sheet (Input)'!F67</f>
        <v>1795.22</v>
      </c>
      <c r="H58" s="25">
        <f>'Data Sheet (Input)'!G67</f>
        <v>2602.17</v>
      </c>
      <c r="I58" s="25">
        <f>'Data Sheet (Input)'!H67</f>
        <v>3871.44</v>
      </c>
      <c r="J58" s="25">
        <f>'Data Sheet (Input)'!I67</f>
        <v>4636.9399999999996</v>
      </c>
      <c r="K58" s="25">
        <f>'Data Sheet (Input)'!J67</f>
        <v>4889.05</v>
      </c>
      <c r="L58" s="25">
        <f>'Data Sheet (Input)'!K67</f>
        <v>4313.6499999999996</v>
      </c>
    </row>
    <row r="59" spans="2:12" outlineLevel="1" x14ac:dyDescent="0.45">
      <c r="B59" t="s">
        <v>45</v>
      </c>
      <c r="C59" s="25">
        <f>'Data Sheet (Input)'!B68</f>
        <v>1998.24</v>
      </c>
      <c r="D59" s="25">
        <f>'Data Sheet (Input)'!C68</f>
        <v>2626.94</v>
      </c>
      <c r="E59" s="25">
        <f>'Data Sheet (Input)'!D68</f>
        <v>2658.31</v>
      </c>
      <c r="F59" s="25">
        <f>'Data Sheet (Input)'!E68</f>
        <v>3149.86</v>
      </c>
      <c r="G59" s="25">
        <f>'Data Sheet (Input)'!F68</f>
        <v>3389.81</v>
      </c>
      <c r="H59" s="25">
        <f>'Data Sheet (Input)'!G68</f>
        <v>3798.6</v>
      </c>
      <c r="I59" s="25">
        <f>'Data Sheet (Input)'!H68</f>
        <v>6152.98</v>
      </c>
      <c r="J59" s="25">
        <f>'Data Sheet (Input)'!I68</f>
        <v>6210.64</v>
      </c>
      <c r="K59" s="25">
        <f>'Data Sheet (Input)'!J68</f>
        <v>5923.41</v>
      </c>
      <c r="L59" s="25">
        <f>'Data Sheet (Input)'!K68</f>
        <v>6719.27</v>
      </c>
    </row>
    <row r="60" spans="2:12" outlineLevel="1" x14ac:dyDescent="0.45">
      <c r="B60" t="s">
        <v>78</v>
      </c>
      <c r="C60" s="25">
        <f>'Data Sheet (Input)'!B69</f>
        <v>424.2</v>
      </c>
      <c r="D60" s="25">
        <f>'Data Sheet (Input)'!C69</f>
        <v>801.21</v>
      </c>
      <c r="E60" s="25">
        <f>'Data Sheet (Input)'!D69</f>
        <v>404.65</v>
      </c>
      <c r="F60" s="25">
        <f>'Data Sheet (Input)'!E69</f>
        <v>444.88</v>
      </c>
      <c r="G60" s="25">
        <f>'Data Sheet (Input)'!F69</f>
        <v>782.83</v>
      </c>
      <c r="H60" s="25">
        <f>'Data Sheet (Input)'!G69</f>
        <v>610.75</v>
      </c>
      <c r="I60" s="25">
        <f>'Data Sheet (Input)'!H69</f>
        <v>864.33</v>
      </c>
      <c r="J60" s="25">
        <f>'Data Sheet (Input)'!I69</f>
        <v>843.82</v>
      </c>
      <c r="K60" s="25">
        <f>'Data Sheet (Input)'!J69</f>
        <v>1084.01</v>
      </c>
      <c r="L60" s="25">
        <f>'Data Sheet (Input)'!K69</f>
        <v>781.98</v>
      </c>
    </row>
    <row r="61" spans="2:12" ht="14.65" outlineLevel="1" thickBot="1" x14ac:dyDescent="0.5">
      <c r="B61" t="s">
        <v>115</v>
      </c>
      <c r="C61" s="25">
        <f>'Data Sheet (Input)'!B65-SUM('Data Sheet (Input)'!B67:B69)</f>
        <v>714.68000000000029</v>
      </c>
      <c r="D61" s="25">
        <f>'Data Sheet (Input)'!C65-SUM('Data Sheet (Input)'!C67:C69)</f>
        <v>1317.17</v>
      </c>
      <c r="E61" s="25">
        <f>'Data Sheet (Input)'!D65-SUM('Data Sheet (Input)'!D67:D69)</f>
        <v>1691.8400000000001</v>
      </c>
      <c r="F61" s="25">
        <f>'Data Sheet (Input)'!E65-SUM('Data Sheet (Input)'!E67:E69)</f>
        <v>1471.9599999999991</v>
      </c>
      <c r="G61" s="25">
        <f>'Data Sheet (Input)'!F65-SUM('Data Sheet (Input)'!F67:F69)</f>
        <v>1738.71</v>
      </c>
      <c r="H61" s="25">
        <f>'Data Sheet (Input)'!G65-SUM('Data Sheet (Input)'!G67:G69)</f>
        <v>2565.5200000000004</v>
      </c>
      <c r="I61" s="25">
        <f>'Data Sheet (Input)'!H65-SUM('Data Sheet (Input)'!H67:H69)</f>
        <v>2876.66</v>
      </c>
      <c r="J61" s="25">
        <f>'Data Sheet (Input)'!I65-SUM('Data Sheet (Input)'!I67:I69)</f>
        <v>3036.17</v>
      </c>
      <c r="K61" s="25">
        <f>'Data Sheet (Input)'!J65-SUM('Data Sheet (Input)'!J67:J69)</f>
        <v>3571.3900000000012</v>
      </c>
      <c r="L61" s="25">
        <f>'Data Sheet (Input)'!K65-SUM('Data Sheet (Input)'!K67:K69)</f>
        <v>3341.01</v>
      </c>
    </row>
    <row r="62" spans="2:12" ht="14.65" outlineLevel="1" thickBot="1" x14ac:dyDescent="0.5">
      <c r="B62" s="29" t="s">
        <v>116</v>
      </c>
      <c r="C62" s="30">
        <f>SUM(C58:C61)</f>
        <v>4323.96</v>
      </c>
      <c r="D62" s="30">
        <f t="shared" ref="D62:K62" si="19">SUM(D58:D61)</f>
        <v>6191.92</v>
      </c>
      <c r="E62" s="30">
        <f t="shared" si="19"/>
        <v>6485.43</v>
      </c>
      <c r="F62" s="30">
        <f t="shared" si="19"/>
        <v>6974.03</v>
      </c>
      <c r="G62" s="30">
        <f t="shared" si="19"/>
        <v>7706.57</v>
      </c>
      <c r="H62" s="30">
        <f>SUM(H58:H61)</f>
        <v>9577.0400000000009</v>
      </c>
      <c r="I62" s="30">
        <f t="shared" si="19"/>
        <v>13765.41</v>
      </c>
      <c r="J62" s="30">
        <f t="shared" si="19"/>
        <v>14727.57</v>
      </c>
      <c r="K62" s="30">
        <f t="shared" si="19"/>
        <v>15467.86</v>
      </c>
      <c r="L62" s="30">
        <f>SUM(L58:L61)</f>
        <v>15155.91</v>
      </c>
    </row>
    <row r="63" spans="2:12" ht="14.65" outlineLevel="1" thickBot="1" x14ac:dyDescent="0.5"/>
    <row r="64" spans="2:12" ht="14.65" outlineLevel="1" thickBot="1" x14ac:dyDescent="0.5">
      <c r="B64" s="29" t="s">
        <v>117</v>
      </c>
      <c r="C64" s="30">
        <f>C56+C62</f>
        <v>10559.029999999999</v>
      </c>
      <c r="D64" s="30">
        <f t="shared" ref="D64:L64" si="20">D56+D62</f>
        <v>12405.189999999999</v>
      </c>
      <c r="E64" s="30">
        <f t="shared" si="20"/>
        <v>13763.48</v>
      </c>
      <c r="F64" s="30">
        <f t="shared" si="20"/>
        <v>16248.84</v>
      </c>
      <c r="G64" s="30">
        <f t="shared" si="20"/>
        <v>16137.97</v>
      </c>
      <c r="H64" s="30">
        <f t="shared" si="20"/>
        <v>20355.34</v>
      </c>
      <c r="I64" s="30">
        <f t="shared" si="20"/>
        <v>22958.43</v>
      </c>
      <c r="J64" s="30">
        <f t="shared" si="20"/>
        <v>25779.33</v>
      </c>
      <c r="K64" s="30">
        <f t="shared" si="20"/>
        <v>29900.77</v>
      </c>
      <c r="L64" s="30">
        <f t="shared" si="20"/>
        <v>30355.25</v>
      </c>
    </row>
    <row r="65" spans="1:13" outlineLevel="1" x14ac:dyDescent="0.45"/>
    <row r="67" spans="1:13" x14ac:dyDescent="0.45">
      <c r="A67" t="s">
        <v>84</v>
      </c>
      <c r="B67" s="24" t="s">
        <v>118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</row>
    <row r="68" spans="1:13" outlineLevel="1" x14ac:dyDescent="0.45">
      <c r="B68" t="s">
        <v>144</v>
      </c>
    </row>
    <row r="69" spans="1:13" outlineLevel="1" x14ac:dyDescent="0.45">
      <c r="B69" t="s">
        <v>120</v>
      </c>
      <c r="C69" s="47">
        <f>'Cash Flow data (input)'!F5</f>
        <v>2848</v>
      </c>
      <c r="D69" s="47">
        <f>'Cash Flow data (input)'!G5</f>
        <v>3056</v>
      </c>
      <c r="E69" s="47">
        <f>'Cash Flow data (input)'!H5</f>
        <v>3274</v>
      </c>
      <c r="F69" s="47">
        <f>'Cash Flow data (input)'!I5</f>
        <v>3861</v>
      </c>
      <c r="G69" s="47">
        <f>'Cash Flow data (input)'!J5</f>
        <v>4380</v>
      </c>
      <c r="H69" s="47">
        <f>'Cash Flow data (input)'!K5</f>
        <v>4970</v>
      </c>
      <c r="I69" s="47">
        <f>'Cash Flow data (input)'!L5</f>
        <v>4957</v>
      </c>
      <c r="J69" s="47">
        <f>'Cash Flow data (input)'!M5</f>
        <v>6460</v>
      </c>
      <c r="K69" s="47">
        <f>'Cash Flow data (input)'!N5</f>
        <v>7929</v>
      </c>
      <c r="L69" s="47">
        <f>'Cash Flow data (input)'!O5</f>
        <v>6390</v>
      </c>
    </row>
    <row r="70" spans="1:13" outlineLevel="1" x14ac:dyDescent="0.45">
      <c r="B70" t="s">
        <v>69</v>
      </c>
      <c r="C70" s="47">
        <f>'Cash Flow data (input)'!F6</f>
        <v>-146</v>
      </c>
      <c r="D70" s="47">
        <f>'Cash Flow data (input)'!G6</f>
        <v>-475</v>
      </c>
      <c r="E70" s="47">
        <f>'Cash Flow data (input)'!H6</f>
        <v>-483</v>
      </c>
      <c r="F70" s="47">
        <f>'Cash Flow data (input)'!I6</f>
        <v>-205</v>
      </c>
      <c r="G70" s="47">
        <f>'Cash Flow data (input)'!J6</f>
        <v>160</v>
      </c>
      <c r="H70" s="47">
        <f>'Cash Flow data (input)'!K6</f>
        <v>-1342</v>
      </c>
      <c r="I70" s="47">
        <f>'Cash Flow data (input)'!L6</f>
        <v>-1326</v>
      </c>
      <c r="J70" s="47">
        <f>'Cash Flow data (input)'!M6</f>
        <v>-834</v>
      </c>
      <c r="K70" s="47">
        <f>'Cash Flow data (input)'!N6</f>
        <v>-362</v>
      </c>
      <c r="L70" s="47">
        <f>'Cash Flow data (input)'!O6</f>
        <v>282</v>
      </c>
    </row>
    <row r="71" spans="1:13" outlineLevel="1" x14ac:dyDescent="0.45">
      <c r="B71" t="s">
        <v>45</v>
      </c>
      <c r="C71" s="47">
        <f>'Cash Flow data (input)'!F7</f>
        <v>202</v>
      </c>
      <c r="D71" s="47">
        <f>'Cash Flow data (input)'!G7</f>
        <v>-629</v>
      </c>
      <c r="E71" s="47">
        <f>'Cash Flow data (input)'!H7</f>
        <v>-39</v>
      </c>
      <c r="F71" s="47">
        <f>'Cash Flow data (input)'!I7</f>
        <v>-492</v>
      </c>
      <c r="G71" s="47">
        <f>'Cash Flow data (input)'!J7</f>
        <v>-251</v>
      </c>
      <c r="H71" s="47">
        <f>'Cash Flow data (input)'!K7</f>
        <v>-409</v>
      </c>
      <c r="I71" s="47">
        <f>'Cash Flow data (input)'!L7</f>
        <v>-2354</v>
      </c>
      <c r="J71" s="47">
        <f>'Cash Flow data (input)'!M7</f>
        <v>-56</v>
      </c>
      <c r="K71" s="47">
        <f>'Cash Flow data (input)'!N7</f>
        <v>315</v>
      </c>
      <c r="L71" s="47">
        <f>'Cash Flow data (input)'!O7</f>
        <v>-805</v>
      </c>
    </row>
    <row r="72" spans="1:13" outlineLevel="1" x14ac:dyDescent="0.45">
      <c r="B72" t="s">
        <v>121</v>
      </c>
      <c r="C72" s="47">
        <f>'Cash Flow data (input)'!F8</f>
        <v>142</v>
      </c>
      <c r="D72" s="47">
        <f>'Cash Flow data (input)'!G8</f>
        <v>501</v>
      </c>
      <c r="E72" s="47">
        <f>'Cash Flow data (input)'!H8</f>
        <v>442</v>
      </c>
      <c r="F72" s="47">
        <f>'Cash Flow data (input)'!I8</f>
        <v>287</v>
      </c>
      <c r="G72" s="47">
        <f>'Cash Flow data (input)'!J8</f>
        <v>-241</v>
      </c>
      <c r="H72" s="47">
        <f>'Cash Flow data (input)'!K8</f>
        <v>1544</v>
      </c>
      <c r="I72" s="47">
        <f>'Cash Flow data (input)'!L8</f>
        <v>644</v>
      </c>
      <c r="J72" s="47">
        <f>'Cash Flow data (input)'!M8</f>
        <v>-539</v>
      </c>
      <c r="K72" s="47">
        <f>'Cash Flow data (input)'!N8</f>
        <v>269</v>
      </c>
      <c r="L72" s="47">
        <f>'Cash Flow data (input)'!O8</f>
        <v>-160</v>
      </c>
    </row>
    <row r="73" spans="1:13" outlineLevel="1" x14ac:dyDescent="0.45">
      <c r="B73" t="s">
        <v>122</v>
      </c>
      <c r="C73" s="47">
        <f>'Cash Flow data (input)'!F9</f>
        <v>0</v>
      </c>
      <c r="D73" s="47">
        <f>'Cash Flow data (input)'!G9</f>
        <v>0</v>
      </c>
      <c r="E73" s="47">
        <f>'Cash Flow data (input)'!H9</f>
        <v>0</v>
      </c>
      <c r="F73" s="47">
        <f>'Cash Flow data (input)'!I9</f>
        <v>0</v>
      </c>
      <c r="G73" s="47">
        <f>'Cash Flow data (input)'!J9</f>
        <v>0</v>
      </c>
      <c r="H73" s="47">
        <f>'Cash Flow data (input)'!K9</f>
        <v>0</v>
      </c>
      <c r="I73" s="47">
        <f>'Cash Flow data (input)'!L9</f>
        <v>242</v>
      </c>
      <c r="J73" s="47">
        <f>'Cash Flow data (input)'!M9</f>
        <v>657</v>
      </c>
      <c r="K73" s="47">
        <f>'Cash Flow data (input)'!N9</f>
        <v>-212</v>
      </c>
      <c r="L73" s="47">
        <f>'Cash Flow data (input)'!O9</f>
        <v>114</v>
      </c>
    </row>
    <row r="74" spans="1:13" outlineLevel="1" x14ac:dyDescent="0.45">
      <c r="B74" t="s">
        <v>124</v>
      </c>
      <c r="C74" s="47">
        <f>'Cash Flow data (input)'!F11</f>
        <v>-802</v>
      </c>
      <c r="D74" s="47">
        <f>'Cash Flow data (input)'!G11</f>
        <v>-925</v>
      </c>
      <c r="E74" s="47">
        <f>'Cash Flow data (input)'!H11</f>
        <v>-1081</v>
      </c>
      <c r="F74" s="47">
        <f>'Cash Flow data (input)'!I11</f>
        <v>-982</v>
      </c>
      <c r="G74" s="47">
        <f>'Cash Flow data (input)'!J11</f>
        <v>-1011</v>
      </c>
      <c r="H74" s="47">
        <f>'Cash Flow data (input)'!K11</f>
        <v>-1080</v>
      </c>
      <c r="I74" s="47">
        <f>'Cash Flow data (input)'!L11</f>
        <v>-1176</v>
      </c>
      <c r="J74" s="47">
        <f>'Cash Flow data (input)'!M11</f>
        <v>-1494</v>
      </c>
      <c r="K74" s="47">
        <f>'Cash Flow data (input)'!N11</f>
        <v>-1835</v>
      </c>
      <c r="L74" s="47">
        <f>'Cash Flow data (input)'!O11</f>
        <v>-1396</v>
      </c>
    </row>
    <row r="75" spans="1:13" ht="14.65" outlineLevel="1" thickBot="1" x14ac:dyDescent="0.5"/>
    <row r="76" spans="1:13" ht="14.65" outlineLevel="1" thickBot="1" x14ac:dyDescent="0.5">
      <c r="B76" s="29" t="s">
        <v>145</v>
      </c>
      <c r="C76" s="48">
        <f>SUM(C69:C75)</f>
        <v>2244</v>
      </c>
      <c r="D76" s="48">
        <f t="shared" ref="D76:L76" si="21">SUM(D69:D75)</f>
        <v>1528</v>
      </c>
      <c r="E76" s="48">
        <f t="shared" si="21"/>
        <v>2113</v>
      </c>
      <c r="F76" s="48">
        <f t="shared" si="21"/>
        <v>2469</v>
      </c>
      <c r="G76" s="48">
        <f t="shared" si="21"/>
        <v>3037</v>
      </c>
      <c r="H76" s="48">
        <f t="shared" si="21"/>
        <v>3683</v>
      </c>
      <c r="I76" s="48">
        <f t="shared" si="21"/>
        <v>987</v>
      </c>
      <c r="J76" s="48">
        <f t="shared" si="21"/>
        <v>4194</v>
      </c>
      <c r="K76" s="48">
        <f t="shared" si="21"/>
        <v>6104</v>
      </c>
      <c r="L76" s="48">
        <f t="shared" si="21"/>
        <v>4425</v>
      </c>
    </row>
    <row r="77" spans="1:13" outlineLevel="1" x14ac:dyDescent="0.45"/>
    <row r="78" spans="1:13" outlineLevel="1" x14ac:dyDescent="0.45">
      <c r="B78" t="s">
        <v>146</v>
      </c>
    </row>
    <row r="79" spans="1:13" outlineLevel="1" x14ac:dyDescent="0.45">
      <c r="B79" t="s">
        <v>126</v>
      </c>
      <c r="C79" s="47">
        <f>'Cash Flow data (input)'!F13</f>
        <v>-817</v>
      </c>
      <c r="D79" s="47">
        <f>'Cash Flow data (input)'!G13</f>
        <v>-684</v>
      </c>
      <c r="E79" s="47">
        <f>'Cash Flow data (input)'!H13</f>
        <v>-1426</v>
      </c>
      <c r="F79" s="47">
        <f>'Cash Flow data (input)'!I13</f>
        <v>-1151</v>
      </c>
      <c r="G79" s="47">
        <f>'Cash Flow data (input)'!J13</f>
        <v>-414</v>
      </c>
      <c r="H79" s="47">
        <f>'Cash Flow data (input)'!K13</f>
        <v>-289</v>
      </c>
      <c r="I79" s="47">
        <f>'Cash Flow data (input)'!L13</f>
        <v>-551</v>
      </c>
      <c r="J79" s="47">
        <f>'Cash Flow data (input)'!M13</f>
        <v>-1446</v>
      </c>
      <c r="K79" s="47">
        <f>'Cash Flow data (input)'!N13</f>
        <v>-2496</v>
      </c>
      <c r="L79" s="47">
        <f>'Cash Flow data (input)'!O13</f>
        <v>-1830</v>
      </c>
    </row>
    <row r="80" spans="1:13" outlineLevel="1" x14ac:dyDescent="0.45">
      <c r="B80" t="s">
        <v>127</v>
      </c>
      <c r="C80" s="47">
        <f>'Cash Flow data (input)'!F14</f>
        <v>15</v>
      </c>
      <c r="D80" s="47">
        <f>'Cash Flow data (input)'!G14</f>
        <v>17</v>
      </c>
      <c r="E80" s="47">
        <f>'Cash Flow data (input)'!H14</f>
        <v>17</v>
      </c>
      <c r="F80" s="47">
        <f>'Cash Flow data (input)'!I14</f>
        <v>17</v>
      </c>
      <c r="G80" s="47">
        <f>'Cash Flow data (input)'!J14</f>
        <v>37</v>
      </c>
      <c r="H80" s="47">
        <f>'Cash Flow data (input)'!K14</f>
        <v>28</v>
      </c>
      <c r="I80" s="47">
        <f>'Cash Flow data (input)'!L14</f>
        <v>40</v>
      </c>
      <c r="J80" s="47">
        <f>'Cash Flow data (input)'!M14</f>
        <v>26</v>
      </c>
      <c r="K80" s="47">
        <f>'Cash Flow data (input)'!N14</f>
        <v>5</v>
      </c>
      <c r="L80" s="47">
        <f>'Cash Flow data (input)'!O14</f>
        <v>10</v>
      </c>
    </row>
    <row r="81" spans="2:12" outlineLevel="1" x14ac:dyDescent="0.45">
      <c r="B81" t="s">
        <v>128</v>
      </c>
      <c r="C81" s="47">
        <f>'Cash Flow data (input)'!F15</f>
        <v>-282</v>
      </c>
      <c r="D81" s="47">
        <f>'Cash Flow data (input)'!G15</f>
        <v>-153</v>
      </c>
      <c r="E81" s="47">
        <f>'Cash Flow data (input)'!H15</f>
        <v>-320</v>
      </c>
      <c r="F81" s="47">
        <f>'Cash Flow data (input)'!I15</f>
        <v>-573</v>
      </c>
      <c r="G81" s="47">
        <f>'Cash Flow data (input)'!J15</f>
        <v>-25</v>
      </c>
      <c r="H81" s="47">
        <f>'Cash Flow data (input)'!K15</f>
        <v>-140</v>
      </c>
      <c r="I81" s="47">
        <f>'Cash Flow data (input)'!L15</f>
        <v>0</v>
      </c>
      <c r="J81" s="47">
        <f>'Cash Flow data (input)'!M15</f>
        <v>-146</v>
      </c>
      <c r="K81" s="47">
        <f>'Cash Flow data (input)'!N15</f>
        <v>-212</v>
      </c>
      <c r="L81" s="47">
        <f>'Cash Flow data (input)'!O15</f>
        <v>-1</v>
      </c>
    </row>
    <row r="82" spans="2:12" outlineLevel="1" x14ac:dyDescent="0.45">
      <c r="B82" t="s">
        <v>129</v>
      </c>
      <c r="C82" s="47">
        <f>'Cash Flow data (input)'!F16</f>
        <v>205</v>
      </c>
      <c r="D82" s="47">
        <f>'Cash Flow data (input)'!G16</f>
        <v>357</v>
      </c>
      <c r="E82" s="47">
        <f>'Cash Flow data (input)'!H16</f>
        <v>362</v>
      </c>
      <c r="F82" s="47">
        <f>'Cash Flow data (input)'!I16</f>
        <v>733</v>
      </c>
      <c r="G82" s="47">
        <f>'Cash Flow data (input)'!J16</f>
        <v>118</v>
      </c>
      <c r="H82" s="47">
        <f>'Cash Flow data (input)'!K16</f>
        <v>272</v>
      </c>
      <c r="I82" s="47">
        <f>'Cash Flow data (input)'!L16</f>
        <v>207</v>
      </c>
      <c r="J82" s="47">
        <f>'Cash Flow data (input)'!M16</f>
        <v>446</v>
      </c>
      <c r="K82" s="47">
        <f>'Cash Flow data (input)'!N16</f>
        <v>240</v>
      </c>
      <c r="L82" s="47">
        <f>'Cash Flow data (input)'!O16</f>
        <v>421</v>
      </c>
    </row>
    <row r="83" spans="2:12" outlineLevel="1" x14ac:dyDescent="0.45">
      <c r="B83" t="s">
        <v>130</v>
      </c>
      <c r="C83" s="47">
        <f>'Cash Flow data (input)'!F17</f>
        <v>15</v>
      </c>
      <c r="D83" s="47">
        <f>'Cash Flow data (input)'!G17</f>
        <v>32</v>
      </c>
      <c r="E83" s="47">
        <f>'Cash Flow data (input)'!H17</f>
        <v>39</v>
      </c>
      <c r="F83" s="47">
        <f>'Cash Flow data (input)'!I17</f>
        <v>40</v>
      </c>
      <c r="G83" s="47">
        <f>'Cash Flow data (input)'!J17</f>
        <v>65</v>
      </c>
      <c r="H83" s="47">
        <f>'Cash Flow data (input)'!K17</f>
        <v>73</v>
      </c>
      <c r="I83" s="47">
        <f>'Cash Flow data (input)'!L17</f>
        <v>77</v>
      </c>
      <c r="J83" s="47">
        <f>'Cash Flow data (input)'!M17</f>
        <v>87</v>
      </c>
      <c r="K83" s="47">
        <f>'Cash Flow data (input)'!N17</f>
        <v>135</v>
      </c>
      <c r="L83" s="47">
        <f>'Cash Flow data (input)'!O17</f>
        <v>155</v>
      </c>
    </row>
    <row r="84" spans="2:12" outlineLevel="1" x14ac:dyDescent="0.45">
      <c r="B84" t="s">
        <v>131</v>
      </c>
      <c r="C84" s="47">
        <f>'Cash Flow data (input)'!F18</f>
        <v>69</v>
      </c>
      <c r="D84" s="47">
        <f>'Cash Flow data (input)'!G18</f>
        <v>74</v>
      </c>
      <c r="E84" s="47">
        <f>'Cash Flow data (input)'!H18</f>
        <v>38</v>
      </c>
      <c r="F84" s="47">
        <f>'Cash Flow data (input)'!I18</f>
        <v>40</v>
      </c>
      <c r="G84" s="47">
        <f>'Cash Flow data (input)'!J18</f>
        <v>27</v>
      </c>
      <c r="H84" s="47">
        <f>'Cash Flow data (input)'!K18</f>
        <v>8</v>
      </c>
      <c r="I84" s="47">
        <f>'Cash Flow data (input)'!L18</f>
        <v>15</v>
      </c>
      <c r="J84" s="47">
        <f>'Cash Flow data (input)'!M18</f>
        <v>56</v>
      </c>
      <c r="K84" s="47">
        <f>'Cash Flow data (input)'!N18</f>
        <v>129</v>
      </c>
      <c r="L84" s="47">
        <f>'Cash Flow data (input)'!O18</f>
        <v>136</v>
      </c>
    </row>
    <row r="85" spans="2:12" outlineLevel="1" x14ac:dyDescent="0.45">
      <c r="B85" t="s">
        <v>132</v>
      </c>
      <c r="C85" s="47">
        <f>'Cash Flow data (input)'!F19</f>
        <v>0</v>
      </c>
      <c r="D85" s="47">
        <f>'Cash Flow data (input)'!G19</f>
        <v>0</v>
      </c>
      <c r="E85" s="47">
        <f>'Cash Flow data (input)'!H19</f>
        <v>0</v>
      </c>
      <c r="F85" s="47">
        <f>'Cash Flow data (input)'!I19</f>
        <v>0</v>
      </c>
      <c r="G85" s="47">
        <f>'Cash Flow data (input)'!J19</f>
        <v>0</v>
      </c>
      <c r="H85" s="47">
        <f>'Cash Flow data (input)'!K19</f>
        <v>0</v>
      </c>
      <c r="I85" s="47">
        <f>'Cash Flow data (input)'!L19</f>
        <v>0</v>
      </c>
      <c r="J85" s="47">
        <f>'Cash Flow data (input)'!M19</f>
        <v>-180</v>
      </c>
      <c r="K85" s="47">
        <f>'Cash Flow data (input)'!N19</f>
        <v>0</v>
      </c>
      <c r="L85" s="47">
        <f>'Cash Flow data (input)'!O19</f>
        <v>0</v>
      </c>
    </row>
    <row r="86" spans="2:12" outlineLevel="1" x14ac:dyDescent="0.45">
      <c r="B86" t="s">
        <v>133</v>
      </c>
      <c r="C86" s="47">
        <f>'Cash Flow data (input)'!F20</f>
        <v>0</v>
      </c>
      <c r="D86" s="47">
        <f>'Cash Flow data (input)'!G20</f>
        <v>0</v>
      </c>
      <c r="E86" s="47">
        <f>'Cash Flow data (input)'!H20</f>
        <v>141</v>
      </c>
      <c r="F86" s="47">
        <f>'Cash Flow data (input)'!I20</f>
        <v>0</v>
      </c>
      <c r="G86" s="47">
        <f>'Cash Flow data (input)'!J20</f>
        <v>17</v>
      </c>
      <c r="H86" s="47">
        <f>'Cash Flow data (input)'!K20</f>
        <v>0</v>
      </c>
      <c r="I86" s="47">
        <f>'Cash Flow data (input)'!L20</f>
        <v>0</v>
      </c>
      <c r="J86" s="47">
        <f>'Cash Flow data (input)'!M20</f>
        <v>0</v>
      </c>
      <c r="K86" s="47">
        <f>'Cash Flow data (input)'!N20</f>
        <v>0</v>
      </c>
      <c r="L86" s="47">
        <f>'Cash Flow data (input)'!O20</f>
        <v>38</v>
      </c>
    </row>
    <row r="87" spans="2:12" outlineLevel="1" x14ac:dyDescent="0.45">
      <c r="B87" t="s">
        <v>134</v>
      </c>
      <c r="C87" s="47">
        <f>'Cash Flow data (input)'!F21</f>
        <v>0</v>
      </c>
      <c r="D87" s="47">
        <f>'Cash Flow data (input)'!G21</f>
        <v>0</v>
      </c>
      <c r="E87" s="47">
        <f>'Cash Flow data (input)'!H21</f>
        <v>-525</v>
      </c>
      <c r="F87" s="47">
        <f>'Cash Flow data (input)'!I21</f>
        <v>0</v>
      </c>
      <c r="G87" s="47">
        <f>'Cash Flow data (input)'!J21</f>
        <v>0</v>
      </c>
      <c r="H87" s="47">
        <f>'Cash Flow data (input)'!K21</f>
        <v>0</v>
      </c>
      <c r="I87" s="47">
        <f>'Cash Flow data (input)'!L21</f>
        <v>0</v>
      </c>
      <c r="J87" s="47">
        <f>'Cash Flow data (input)'!M21</f>
        <v>0</v>
      </c>
      <c r="K87" s="47">
        <f>'Cash Flow data (input)'!N21</f>
        <v>0</v>
      </c>
      <c r="L87" s="47">
        <f>'Cash Flow data (input)'!O21</f>
        <v>0</v>
      </c>
    </row>
    <row r="88" spans="2:12" outlineLevel="1" x14ac:dyDescent="0.45">
      <c r="B88" t="s">
        <v>135</v>
      </c>
      <c r="C88" s="47">
        <f>'Cash Flow data (input)'!F22</f>
        <v>-70</v>
      </c>
      <c r="D88" s="47">
        <f>'Cash Flow data (input)'!G22</f>
        <v>-324</v>
      </c>
      <c r="E88" s="47">
        <f>'Cash Flow data (input)'!H22</f>
        <v>118</v>
      </c>
      <c r="F88" s="47">
        <f>'Cash Flow data (input)'!I22</f>
        <v>-24</v>
      </c>
      <c r="G88" s="47">
        <f>'Cash Flow data (input)'!J22</f>
        <v>-343</v>
      </c>
      <c r="H88" s="47">
        <f>'Cash Flow data (input)'!K22</f>
        <v>-493</v>
      </c>
      <c r="I88" s="47">
        <f>'Cash Flow data (input)'!L22</f>
        <v>-105</v>
      </c>
      <c r="J88" s="47">
        <f>'Cash Flow data (input)'!M22</f>
        <v>-126</v>
      </c>
      <c r="K88" s="47">
        <f>'Cash Flow data (input)'!N22</f>
        <v>-350</v>
      </c>
      <c r="L88" s="47">
        <f>'Cash Flow data (input)'!O22</f>
        <v>130</v>
      </c>
    </row>
    <row r="89" spans="2:12" ht="14.65" outlineLevel="1" thickBot="1" x14ac:dyDescent="0.5"/>
    <row r="90" spans="2:12" ht="14.65" outlineLevel="1" thickBot="1" x14ac:dyDescent="0.5">
      <c r="B90" s="29" t="s">
        <v>147</v>
      </c>
      <c r="C90" s="48">
        <f>SUM(C79:C89)</f>
        <v>-865</v>
      </c>
      <c r="D90" s="48">
        <f t="shared" ref="D90:L90" si="22">SUM(D79:D89)</f>
        <v>-681</v>
      </c>
      <c r="E90" s="48">
        <f t="shared" si="22"/>
        <v>-1556</v>
      </c>
      <c r="F90" s="48">
        <f t="shared" si="22"/>
        <v>-918</v>
      </c>
      <c r="G90" s="48">
        <f t="shared" si="22"/>
        <v>-518</v>
      </c>
      <c r="H90" s="48">
        <f t="shared" si="22"/>
        <v>-541</v>
      </c>
      <c r="I90" s="48">
        <f t="shared" si="22"/>
        <v>-317</v>
      </c>
      <c r="J90" s="48">
        <f t="shared" si="22"/>
        <v>-1283</v>
      </c>
      <c r="K90" s="48">
        <f t="shared" si="22"/>
        <v>-2549</v>
      </c>
      <c r="L90" s="48">
        <f t="shared" si="22"/>
        <v>-941</v>
      </c>
    </row>
    <row r="91" spans="2:12" outlineLevel="1" x14ac:dyDescent="0.45"/>
    <row r="92" spans="2:12" outlineLevel="1" x14ac:dyDescent="0.45">
      <c r="B92" t="s">
        <v>148</v>
      </c>
    </row>
    <row r="93" spans="2:12" outlineLevel="1" x14ac:dyDescent="0.45">
      <c r="B93" t="s">
        <v>137</v>
      </c>
      <c r="C93" s="47">
        <f>'Cash Flow data (input)'!F24</f>
        <v>0</v>
      </c>
      <c r="D93" s="47">
        <f>'Cash Flow data (input)'!G24</f>
        <v>0</v>
      </c>
      <c r="E93" s="47">
        <f>'Cash Flow data (input)'!H24</f>
        <v>0</v>
      </c>
      <c r="F93" s="47">
        <f>'Cash Flow data (input)'!I24</f>
        <v>0</v>
      </c>
      <c r="G93" s="47">
        <f>'Cash Flow data (input)'!J24</f>
        <v>0</v>
      </c>
      <c r="H93" s="47">
        <f>'Cash Flow data (input)'!K24</f>
        <v>0</v>
      </c>
      <c r="I93" s="47">
        <f>'Cash Flow data (input)'!L24</f>
        <v>0</v>
      </c>
      <c r="J93" s="47">
        <f>'Cash Flow data (input)'!M24</f>
        <v>0</v>
      </c>
      <c r="K93" s="47">
        <f>'Cash Flow data (input)'!N24</f>
        <v>1</v>
      </c>
      <c r="L93" s="47">
        <f>'Cash Flow data (input)'!O24</f>
        <v>0</v>
      </c>
    </row>
    <row r="94" spans="2:12" outlineLevel="1" x14ac:dyDescent="0.45">
      <c r="B94" t="s">
        <v>138</v>
      </c>
      <c r="C94" s="47">
        <f>'Cash Flow data (input)'!F25</f>
        <v>8</v>
      </c>
      <c r="D94" s="47">
        <f>'Cash Flow data (input)'!G25</f>
        <v>271</v>
      </c>
      <c r="E94" s="47">
        <f>'Cash Flow data (input)'!H25</f>
        <v>10</v>
      </c>
      <c r="F94" s="47">
        <f>'Cash Flow data (input)'!I25</f>
        <v>243</v>
      </c>
      <c r="G94" s="47">
        <f>'Cash Flow data (input)'!J25</f>
        <v>18</v>
      </c>
      <c r="H94" s="47">
        <f>'Cash Flow data (input)'!K25</f>
        <v>155</v>
      </c>
      <c r="I94" s="47">
        <f>'Cash Flow data (input)'!L25</f>
        <v>418</v>
      </c>
      <c r="J94" s="47">
        <f>'Cash Flow data (input)'!M25</f>
        <v>254</v>
      </c>
      <c r="K94" s="47">
        <f>'Cash Flow data (input)'!N25</f>
        <v>101</v>
      </c>
      <c r="L94" s="47">
        <f>'Cash Flow data (input)'!O25</f>
        <v>415</v>
      </c>
    </row>
    <row r="95" spans="2:12" outlineLevel="1" x14ac:dyDescent="0.45">
      <c r="B95" t="s">
        <v>139</v>
      </c>
      <c r="C95" s="47">
        <f>'Cash Flow data (input)'!F26</f>
        <v>-119</v>
      </c>
      <c r="D95" s="47">
        <f>'Cash Flow data (input)'!G26</f>
        <v>-58</v>
      </c>
      <c r="E95" s="47">
        <f>'Cash Flow data (input)'!H26</f>
        <v>-54</v>
      </c>
      <c r="F95" s="47">
        <f>'Cash Flow data (input)'!I26</f>
        <v>-26</v>
      </c>
      <c r="G95" s="47">
        <f>'Cash Flow data (input)'!J26</f>
        <v>-482</v>
      </c>
      <c r="H95" s="47">
        <f>'Cash Flow data (input)'!K26</f>
        <v>-14</v>
      </c>
      <c r="I95" s="47">
        <f>'Cash Flow data (input)'!L26</f>
        <v>-8</v>
      </c>
      <c r="J95" s="47">
        <f>'Cash Flow data (input)'!M26</f>
        <v>-25</v>
      </c>
      <c r="K95" s="47">
        <f>'Cash Flow data (input)'!N26</f>
        <v>-98</v>
      </c>
      <c r="L95" s="47">
        <f>'Cash Flow data (input)'!O26</f>
        <v>-428</v>
      </c>
    </row>
    <row r="96" spans="2:12" outlineLevel="1" x14ac:dyDescent="0.45">
      <c r="B96" t="s">
        <v>140</v>
      </c>
      <c r="C96" s="47">
        <f>'Cash Flow data (input)'!F27</f>
        <v>-40</v>
      </c>
      <c r="D96" s="47">
        <f>'Cash Flow data (input)'!G27</f>
        <v>-36</v>
      </c>
      <c r="E96" s="47">
        <f>'Cash Flow data (input)'!H27</f>
        <v>-35</v>
      </c>
      <c r="F96" s="47">
        <f>'Cash Flow data (input)'!I27</f>
        <v>-106</v>
      </c>
      <c r="G96" s="47">
        <f>'Cash Flow data (input)'!J27</f>
        <v>-101</v>
      </c>
      <c r="H96" s="47">
        <f>'Cash Flow data (input)'!K27</f>
        <v>-89</v>
      </c>
      <c r="I96" s="47">
        <f>'Cash Flow data (input)'!L27</f>
        <v>-94</v>
      </c>
      <c r="J96" s="47">
        <f>'Cash Flow data (input)'!M27</f>
        <v>-142</v>
      </c>
      <c r="K96" s="47">
        <f>'Cash Flow data (input)'!N27</f>
        <v>-191</v>
      </c>
      <c r="L96" s="47">
        <f>'Cash Flow data (input)'!O27</f>
        <v>-203</v>
      </c>
    </row>
    <row r="97" spans="2:12" outlineLevel="1" x14ac:dyDescent="0.45">
      <c r="B97" t="s">
        <v>141</v>
      </c>
      <c r="C97" s="47">
        <f>'Cash Flow data (input)'!F28</f>
        <v>-764</v>
      </c>
      <c r="D97" s="47">
        <f>'Cash Flow data (input)'!G28</f>
        <v>-947</v>
      </c>
      <c r="E97" s="47">
        <f>'Cash Flow data (input)'!H28</f>
        <v>-1218</v>
      </c>
      <c r="F97" s="47">
        <f>'Cash Flow data (input)'!I28</f>
        <v>-1049</v>
      </c>
      <c r="G97" s="47">
        <f>'Cash Flow data (input)'!J28</f>
        <v>-2121</v>
      </c>
      <c r="H97" s="47">
        <f>'Cash Flow data (input)'!K28</f>
        <v>-499</v>
      </c>
      <c r="I97" s="47">
        <f>'Cash Flow data (input)'!L28</f>
        <v>-1763</v>
      </c>
      <c r="J97" s="47">
        <f>'Cash Flow data (input)'!M28</f>
        <v>-1936</v>
      </c>
      <c r="K97" s="47">
        <f>'Cash Flow data (input)'!N28</f>
        <v>-2551</v>
      </c>
      <c r="L97" s="47">
        <f>'Cash Flow data (input)'!O28</f>
        <v>-3140</v>
      </c>
    </row>
    <row r="98" spans="2:12" outlineLevel="1" x14ac:dyDescent="0.45">
      <c r="B98" t="s">
        <v>142</v>
      </c>
      <c r="C98" s="47">
        <f>'Cash Flow data (input)'!F29</f>
        <v>0</v>
      </c>
      <c r="D98" s="47">
        <f>'Cash Flow data (input)'!G29</f>
        <v>0</v>
      </c>
      <c r="E98" s="47">
        <f>'Cash Flow data (input)'!H29</f>
        <v>0</v>
      </c>
      <c r="F98" s="47">
        <f>'Cash Flow data (input)'!I29</f>
        <v>-180</v>
      </c>
      <c r="G98" s="47">
        <f>'Cash Flow data (input)'!J29</f>
        <v>-179</v>
      </c>
      <c r="H98" s="47">
        <f>'Cash Flow data (input)'!K29</f>
        <v>-203</v>
      </c>
      <c r="I98" s="47">
        <f>'Cash Flow data (input)'!L29</f>
        <v>-221</v>
      </c>
      <c r="J98" s="47">
        <f>'Cash Flow data (input)'!M29</f>
        <v>-256</v>
      </c>
      <c r="K98" s="47">
        <f>'Cash Flow data (input)'!N29</f>
        <v>-286</v>
      </c>
      <c r="L98" s="47">
        <f>'Cash Flow data (input)'!O29</f>
        <v>-325</v>
      </c>
    </row>
    <row r="99" spans="2:12" outlineLevel="1" x14ac:dyDescent="0.45">
      <c r="B99" t="s">
        <v>143</v>
      </c>
      <c r="C99" s="47">
        <f>'Cash Flow data (input)'!F30</f>
        <v>66</v>
      </c>
      <c r="D99" s="47">
        <f>'Cash Flow data (input)'!G30</f>
        <v>13</v>
      </c>
      <c r="E99" s="47">
        <f>'Cash Flow data (input)'!H30</f>
        <v>-82</v>
      </c>
      <c r="F99" s="47">
        <f>'Cash Flow data (input)'!I30</f>
        <v>0</v>
      </c>
      <c r="G99" s="47">
        <f>'Cash Flow data (input)'!J30</f>
        <v>-6</v>
      </c>
      <c r="H99" s="47">
        <f>'Cash Flow data (input)'!K30</f>
        <v>0</v>
      </c>
      <c r="I99" s="47">
        <f>'Cash Flow data (input)'!L30</f>
        <v>-140</v>
      </c>
      <c r="J99" s="47">
        <f>'Cash Flow data (input)'!M30</f>
        <v>-36</v>
      </c>
      <c r="K99" s="47">
        <f>'Cash Flow data (input)'!N30</f>
        <v>41</v>
      </c>
      <c r="L99" s="47">
        <f>'Cash Flow data (input)'!O30</f>
        <v>-72</v>
      </c>
    </row>
    <row r="100" spans="2:12" ht="14.65" outlineLevel="1" thickBot="1" x14ac:dyDescent="0.5"/>
    <row r="101" spans="2:12" ht="14.65" outlineLevel="1" thickBot="1" x14ac:dyDescent="0.5">
      <c r="B101" s="29" t="s">
        <v>149</v>
      </c>
      <c r="C101" s="48">
        <f>SUM(C93:C100)</f>
        <v>-849</v>
      </c>
      <c r="D101" s="48">
        <f t="shared" ref="D101:L101" si="23">SUM(D93:D100)</f>
        <v>-757</v>
      </c>
      <c r="E101" s="48">
        <f t="shared" si="23"/>
        <v>-1379</v>
      </c>
      <c r="F101" s="48">
        <f t="shared" si="23"/>
        <v>-1118</v>
      </c>
      <c r="G101" s="48">
        <f t="shared" si="23"/>
        <v>-2871</v>
      </c>
      <c r="H101" s="48">
        <f t="shared" si="23"/>
        <v>-650</v>
      </c>
      <c r="I101" s="48">
        <f t="shared" si="23"/>
        <v>-1808</v>
      </c>
      <c r="J101" s="48">
        <f t="shared" si="23"/>
        <v>-2141</v>
      </c>
      <c r="K101" s="48">
        <f t="shared" si="23"/>
        <v>-2983</v>
      </c>
      <c r="L101" s="48">
        <f t="shared" si="23"/>
        <v>-3753</v>
      </c>
    </row>
    <row r="102" spans="2:12" ht="14.65" outlineLevel="1" thickBot="1" x14ac:dyDescent="0.5"/>
    <row r="103" spans="2:12" ht="15" outlineLevel="1" thickTop="1" thickBot="1" x14ac:dyDescent="0.5">
      <c r="B103" s="49" t="s">
        <v>35</v>
      </c>
      <c r="C103" s="50">
        <f>C76+C90+C101</f>
        <v>530</v>
      </c>
      <c r="D103" s="50">
        <f t="shared" ref="D103:L103" si="24">D76+D90+D101</f>
        <v>90</v>
      </c>
      <c r="E103" s="50">
        <f t="shared" si="24"/>
        <v>-822</v>
      </c>
      <c r="F103" s="50">
        <f t="shared" si="24"/>
        <v>433</v>
      </c>
      <c r="G103" s="50">
        <f t="shared" si="24"/>
        <v>-352</v>
      </c>
      <c r="H103" s="50">
        <f t="shared" si="24"/>
        <v>2492</v>
      </c>
      <c r="I103" s="50">
        <f t="shared" si="24"/>
        <v>-1138</v>
      </c>
      <c r="J103" s="50">
        <f t="shared" si="24"/>
        <v>770</v>
      </c>
      <c r="K103" s="50">
        <f t="shared" si="24"/>
        <v>572</v>
      </c>
      <c r="L103" s="50">
        <f t="shared" si="24"/>
        <v>-269</v>
      </c>
    </row>
    <row r="104" spans="2:12" ht="14.65" outlineLevel="1" thickTop="1" x14ac:dyDescent="0.45"/>
  </sheetData>
  <mergeCells count="1">
    <mergeCell ref="B2:M2"/>
  </mergeCells>
  <pageMargins left="0.7" right="0.7" top="0.75" bottom="0.75" header="0.3" footer="0.3"/>
  <ignoredErrors>
    <ignoredError sqref="M6 M9 C15:L15 M20 M23:M24 M2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1D4B-CD4B-47C4-9F06-261BA6FEA138}">
  <sheetPr>
    <tabColor theme="7" tint="0.79998168889431442"/>
  </sheetPr>
  <dimension ref="B2:O39"/>
  <sheetViews>
    <sheetView showGridLines="0" tabSelected="1" zoomScale="101" zoomScaleNormal="73" workbookViewId="0">
      <selection activeCell="P4" sqref="P4"/>
    </sheetView>
  </sheetViews>
  <sheetFormatPr defaultRowHeight="14.25" x14ac:dyDescent="0.45"/>
  <cols>
    <col min="1" max="1" width="3.265625" customWidth="1"/>
    <col min="2" max="2" width="25.33203125" customWidth="1"/>
    <col min="3" max="3" width="19.86328125" bestFit="1" customWidth="1"/>
    <col min="4" max="6" width="10.53125" bestFit="1" customWidth="1"/>
    <col min="7" max="7" width="9.53125" bestFit="1" customWidth="1"/>
    <col min="8" max="9" width="10.53125" bestFit="1" customWidth="1"/>
    <col min="10" max="11" width="9.53125" bestFit="1" customWidth="1"/>
    <col min="12" max="12" width="10.53125" bestFit="1" customWidth="1"/>
    <col min="13" max="13" width="15.1328125" customWidth="1"/>
    <col min="14" max="15" width="9.53125" bestFit="1" customWidth="1"/>
  </cols>
  <sheetData>
    <row r="2" spans="2:15" x14ac:dyDescent="0.45">
      <c r="B2" s="106" t="s">
        <v>180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2:15" x14ac:dyDescent="0.45">
      <c r="B3" s="21" t="s">
        <v>81</v>
      </c>
      <c r="C3" s="51">
        <f>'3 Statement Model'!C3</f>
        <v>42460</v>
      </c>
      <c r="D3" s="51">
        <f>'3 Statement Model'!D3</f>
        <v>42825</v>
      </c>
      <c r="E3" s="51">
        <f>'3 Statement Model'!E3</f>
        <v>43190</v>
      </c>
      <c r="F3" s="51">
        <f>'3 Statement Model'!F3</f>
        <v>43555</v>
      </c>
      <c r="G3" s="51">
        <f>'3 Statement Model'!G3</f>
        <v>43921</v>
      </c>
      <c r="H3" s="51">
        <f>'3 Statement Model'!H3</f>
        <v>44286</v>
      </c>
      <c r="I3" s="51">
        <f>'3 Statement Model'!I3</f>
        <v>44651</v>
      </c>
      <c r="J3" s="51">
        <f>'3 Statement Model'!J3</f>
        <v>45016</v>
      </c>
      <c r="K3" s="51">
        <f>'3 Statement Model'!K3</f>
        <v>45382</v>
      </c>
      <c r="L3" s="51">
        <f>'3 Statement Model'!L3</f>
        <v>45747</v>
      </c>
      <c r="M3" s="51" t="s">
        <v>150</v>
      </c>
      <c r="N3" s="51" t="s">
        <v>151</v>
      </c>
      <c r="O3" s="52" t="s">
        <v>152</v>
      </c>
    </row>
    <row r="4" spans="2:15" s="65" customFormat="1" ht="14.65" thickBot="1" x14ac:dyDescent="0.5"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4"/>
    </row>
    <row r="5" spans="2:15" x14ac:dyDescent="0.45">
      <c r="B5" s="53" t="s">
        <v>87</v>
      </c>
      <c r="C5" s="54" t="str">
        <f>'3 Statement Model'!C7</f>
        <v>-</v>
      </c>
      <c r="D5" s="54">
        <f>'3 Statement Model'!D7</f>
        <v>5.5390151974320831E-2</v>
      </c>
      <c r="E5" s="54">
        <f>'3 Statement Model'!E7</f>
        <v>0.11702039371955496</v>
      </c>
      <c r="F5" s="54">
        <f>'3 Statement Model'!F7</f>
        <v>0.14357471670861935</v>
      </c>
      <c r="G5" s="54">
        <f>'3 Statement Model'!G7</f>
        <v>5.0473671435691904E-2</v>
      </c>
      <c r="H5" s="54">
        <f>'3 Statement Model'!H7</f>
        <v>7.4292287711052063E-2</v>
      </c>
      <c r="I5" s="54">
        <f>'3 Statement Model'!I7</f>
        <v>0.34028284711453471</v>
      </c>
      <c r="J5" s="54">
        <f>'3 Statement Model'!J7</f>
        <v>0.18512278497715556</v>
      </c>
      <c r="K5" s="54">
        <f>'3 Statement Model'!K7</f>
        <v>2.9173126532572275E-2</v>
      </c>
      <c r="L5" s="54">
        <f>'3 Statement Model'!L7</f>
        <v>-4.4770308155605086E-2</v>
      </c>
      <c r="M5" s="53"/>
      <c r="N5" s="55">
        <f>AVERAGE(D5:L5)</f>
        <v>0.10561774133532183</v>
      </c>
      <c r="O5" s="55">
        <f>MEDIAN(D5:L5)</f>
        <v>7.4292287711052063E-2</v>
      </c>
    </row>
    <row r="6" spans="2:15" x14ac:dyDescent="0.45">
      <c r="B6" t="s">
        <v>153</v>
      </c>
      <c r="C6" s="56" t="s">
        <v>88</v>
      </c>
      <c r="D6" s="57">
        <f>'3 Statement Model'!D18/'3 Statement Model'!C18-1</f>
        <v>9.861139652995865E-2</v>
      </c>
      <c r="E6" s="57">
        <f>'3 Statement Model'!E18/'3 Statement Model'!D18-1</f>
        <v>7.0229410507188561E-2</v>
      </c>
      <c r="F6" s="57">
        <f>'3 Statement Model'!F18/'3 Statement Model'!E18-1</f>
        <v>0.17507123885381137</v>
      </c>
      <c r="G6" s="57">
        <f>'3 Statement Model'!G18/'3 Statement Model'!F18-1</f>
        <v>0.10540141409955961</v>
      </c>
      <c r="H6" s="57">
        <f>'3 Statement Model'!H18/'3 Statement Model'!G18-1</f>
        <v>0.16671512361327179</v>
      </c>
      <c r="I6" s="57">
        <f>'3 Statement Model'!I18/'3 Statement Model'!H18-1</f>
        <v>-1.0707224647830249E-2</v>
      </c>
      <c r="J6" s="57">
        <f>'3 Statement Model'!J18/'3 Statement Model'!I18-1</f>
        <v>0.3031532534906034</v>
      </c>
      <c r="K6" s="57">
        <f>'3 Statement Model'!K18/'3 Statement Model'!J18-1</f>
        <v>0.21168911665473988</v>
      </c>
      <c r="L6" s="57">
        <f>'3 Statement Model'!L18/'3 Statement Model'!K18-1</f>
        <v>-0.20814425351154509</v>
      </c>
      <c r="N6" s="5">
        <f t="shared" ref="N6:N8" si="0">AVERAGE(D6:L6)</f>
        <v>0.10133549728775089</v>
      </c>
      <c r="O6" s="5">
        <f t="shared" ref="O6:O9" si="1">MEDIAN(D6:L6)</f>
        <v>0.10540141409955961</v>
      </c>
    </row>
    <row r="7" spans="2:15" x14ac:dyDescent="0.45">
      <c r="B7" t="s">
        <v>154</v>
      </c>
      <c r="C7" s="56" t="s">
        <v>88</v>
      </c>
      <c r="D7" s="57">
        <f>'3 Statement Model'!D22/'3 Statement Model'!C22-1</f>
        <v>8.5533137916111501E-2</v>
      </c>
      <c r="E7" s="57">
        <f>'3 Statement Model'!E22/'3 Statement Model'!D22-1</f>
        <v>6.9414096435838069E-2</v>
      </c>
      <c r="F7" s="57">
        <f>'3 Statement Model'!F22/'3 Statement Model'!E22-1</f>
        <v>0.10524205743545045</v>
      </c>
      <c r="G7" s="57">
        <f>'3 Statement Model'!G22/'3 Statement Model'!F22-1</f>
        <v>7.5878197785413048E-2</v>
      </c>
      <c r="H7" s="57">
        <f>'3 Statement Model'!H22/'3 Statement Model'!G22-1</f>
        <v>0.20201285315872619</v>
      </c>
      <c r="I7" s="57">
        <f>'3 Statement Model'!I22/'3 Statement Model'!H22-1</f>
        <v>-1.896499546050745E-2</v>
      </c>
      <c r="J7" s="57">
        <f>'3 Statement Model'!J22/'3 Statement Model'!I22-1</f>
        <v>0.35477334002131733</v>
      </c>
      <c r="K7" s="57">
        <f>'3 Statement Model'!K22/'3 Statement Model'!J22-1</f>
        <v>0.2462429329374185</v>
      </c>
      <c r="L7" s="57">
        <f>'3 Statement Model'!L22/'3 Statement Model'!K22-1</f>
        <v>-0.26026666745890503</v>
      </c>
      <c r="N7" s="5">
        <f t="shared" si="0"/>
        <v>9.5540550307873631E-2</v>
      </c>
      <c r="O7" s="5">
        <f t="shared" si="1"/>
        <v>8.5533137916111501E-2</v>
      </c>
    </row>
    <row r="8" spans="2:15" x14ac:dyDescent="0.45">
      <c r="B8" t="s">
        <v>155</v>
      </c>
      <c r="C8" s="56" t="s">
        <v>88</v>
      </c>
      <c r="D8" s="57">
        <f>'3 Statement Model'!D32/'3 Statement Model'!C32-1</f>
        <v>0.13953632952027806</v>
      </c>
      <c r="E8" s="57">
        <f>'3 Statement Model'!E32/'3 Statement Model'!D32-1</f>
        <v>4.0307501549907254E-2</v>
      </c>
      <c r="F8" s="57">
        <f>'3 Statement Model'!F32/'3 Statement Model'!E32-1</f>
        <v>5.2690796750448632E-2</v>
      </c>
      <c r="G8" s="57">
        <f>'3 Statement Model'!G32/'3 Statement Model'!F32-1</f>
        <v>0.25640386949511584</v>
      </c>
      <c r="H8" s="57">
        <f>'3 Statement Model'!H32/'3 Statement Model'!G32-1</f>
        <v>0.1559229901340593</v>
      </c>
      <c r="I8" s="57">
        <f>'3 Statement Model'!I32/'3 Statement Model'!H32-1</f>
        <v>-3.802603882435629E-2</v>
      </c>
      <c r="J8" s="57">
        <f>'3 Statement Model'!J32/'3 Statement Model'!I32-1</f>
        <v>0.3599962396387455</v>
      </c>
      <c r="K8" s="57">
        <f>'3 Statement Model'!K32/'3 Statement Model'!J32-1</f>
        <v>0.32473250018473077</v>
      </c>
      <c r="L8" s="57">
        <f>'3 Statement Model'!L32/'3 Statement Model'!K32-1</f>
        <v>-0.33250865017660203</v>
      </c>
      <c r="N8" s="5">
        <f t="shared" si="0"/>
        <v>0.10656172647470301</v>
      </c>
      <c r="O8" s="5">
        <f t="shared" si="1"/>
        <v>0.13953632952027806</v>
      </c>
    </row>
    <row r="9" spans="2:15" ht="14.65" thickBot="1" x14ac:dyDescent="0.5">
      <c r="B9" s="58" t="s">
        <v>156</v>
      </c>
      <c r="C9" s="59" t="s">
        <v>88</v>
      </c>
      <c r="D9" s="60">
        <f>'3 Statement Model'!D40/'3 Statement Model'!C40-1</f>
        <v>0.37333889352237981</v>
      </c>
      <c r="E9" s="60">
        <f>'3 Statement Model'!E40/'3 Statement Model'!D40-1</f>
        <v>-0.15534727423632066</v>
      </c>
      <c r="F9" s="60">
        <f>'3 Statement Model'!F40/'3 Statement Model'!E40-1</f>
        <v>0.20690233672858005</v>
      </c>
      <c r="G9" s="60">
        <f>'3 Statement Model'!G40/'3 Statement Model'!F40-1</f>
        <v>0.14285714285714279</v>
      </c>
      <c r="H9" s="60">
        <f>'3 Statement Model'!H40/'3 Statement Model'!G40-1</f>
        <v>0.48749826244092298</v>
      </c>
      <c r="I9" s="60">
        <f>'3 Statement Model'!I40/'3 Statement Model'!H40-1</f>
        <v>7.2831552941588606E-2</v>
      </c>
      <c r="J9" s="60">
        <f>'3 Statement Model'!J40/'3 Statement Model'!I40-1</f>
        <v>0.33942521789783719</v>
      </c>
      <c r="K9" s="60">
        <f>'3 Statement Model'!K40/'3 Statement Model'!J40-1</f>
        <v>0.2982461844859472</v>
      </c>
      <c r="L9" s="60">
        <f>'3 Statement Model'!L40/'3 Statement Model'!K40-1</f>
        <v>-0.25525493560081891</v>
      </c>
      <c r="M9" s="58"/>
      <c r="N9" s="61">
        <f>AVERAGE(D9:L9)</f>
        <v>0.16783304233747323</v>
      </c>
      <c r="O9" s="61">
        <f t="shared" si="1"/>
        <v>0.20690233672858005</v>
      </c>
    </row>
    <row r="10" spans="2:15" ht="14.65" thickBot="1" x14ac:dyDescent="0.5"/>
    <row r="11" spans="2:15" x14ac:dyDescent="0.45">
      <c r="B11" s="53" t="s">
        <v>157</v>
      </c>
      <c r="C11" s="55">
        <f>'3 Statement Model'!C13</f>
        <v>0.34037441080083447</v>
      </c>
      <c r="D11" s="55">
        <f>'3 Statement Model'!D13</f>
        <v>0.35382642001488518</v>
      </c>
      <c r="E11" s="55">
        <f>'3 Statement Model'!E13</f>
        <v>0.33465263558312119</v>
      </c>
      <c r="F11" s="55">
        <f>'3 Statement Model'!F13</f>
        <v>0.3292243867375117</v>
      </c>
      <c r="G11" s="55">
        <f>'3 Statement Model'!G13</f>
        <v>0.34897544684272364</v>
      </c>
      <c r="H11" s="55">
        <f>'3 Statement Model'!H13</f>
        <v>0.35360356729835285</v>
      </c>
      <c r="I11" s="55">
        <f>'3 Statement Model'!I13</f>
        <v>0.29245139732685294</v>
      </c>
      <c r="J11" s="55">
        <f>'3 Statement Model'!J13</f>
        <v>0.31088223670495074</v>
      </c>
      <c r="K11" s="55">
        <f>'3 Statement Model'!K13</f>
        <v>0.35173503221464147</v>
      </c>
      <c r="L11" s="55">
        <f>'3 Statement Model'!L13</f>
        <v>0.32927727025785108</v>
      </c>
      <c r="M11" s="55"/>
      <c r="N11" s="55">
        <f>AVERAGE(C11:L11)</f>
        <v>0.33450028037817253</v>
      </c>
      <c r="O11" s="55">
        <f>MEDIAN(C11:L11)</f>
        <v>0.3375135231919778</v>
      </c>
    </row>
    <row r="12" spans="2:15" x14ac:dyDescent="0.45">
      <c r="B12" t="s">
        <v>158</v>
      </c>
      <c r="C12" s="5">
        <f>'3 Statement Model'!C19</f>
        <v>0.19094292186730338</v>
      </c>
      <c r="D12" s="5">
        <f>'3 Statement Model'!D19</f>
        <v>0.19876258050895004</v>
      </c>
      <c r="E12" s="5">
        <f>'3 Statement Model'!E19</f>
        <v>0.19043659414367703</v>
      </c>
      <c r="F12" s="5">
        <f>'3 Statement Model'!F19</f>
        <v>0.19568163000977651</v>
      </c>
      <c r="G12" s="5">
        <f>'3 Statement Model'!G19</f>
        <v>0.2059135382522109</v>
      </c>
      <c r="H12" s="5">
        <f>'3 Statement Model'!H19</f>
        <v>0.22362856178317034</v>
      </c>
      <c r="I12" s="5">
        <f>'3 Statement Model'!I19</f>
        <v>0.16506524798909186</v>
      </c>
      <c r="J12" s="5">
        <f>'3 Statement Model'!J19</f>
        <v>0.1815046657459756</v>
      </c>
      <c r="K12" s="5">
        <f>'3 Statement Model'!K19</f>
        <v>0.21369313134654075</v>
      </c>
      <c r="L12" s="5">
        <f>'3 Statement Model'!L19</f>
        <v>0.17714496888716388</v>
      </c>
      <c r="M12" s="5"/>
      <c r="N12" s="5">
        <f t="shared" ref="N12:N14" si="2">AVERAGE(C12:L12)</f>
        <v>0.19427738405338602</v>
      </c>
      <c r="O12" s="5">
        <f t="shared" ref="O12:O14" si="3">MEDIAN(C12:L12)</f>
        <v>0.19331227593853995</v>
      </c>
    </row>
    <row r="13" spans="2:15" x14ac:dyDescent="0.45">
      <c r="B13" t="s">
        <v>160</v>
      </c>
      <c r="C13" s="5">
        <f>'3 Statement Model'!C27</f>
        <v>0.18315186431129485</v>
      </c>
      <c r="D13" s="5">
        <f>'3 Statement Model'!D27</f>
        <v>0.19649063636345532</v>
      </c>
      <c r="E13" s="5">
        <f>'3 Statement Model'!E27</f>
        <v>0.18654169056527523</v>
      </c>
      <c r="F13" s="5">
        <f>'3 Statement Model'!F27</f>
        <v>0.17183355829716335</v>
      </c>
      <c r="G13" s="5">
        <f>'3 Statement Model'!G27</f>
        <v>0.17955544560578873</v>
      </c>
      <c r="H13" s="5">
        <f>'3 Statement Model'!H27</f>
        <v>0.19824029984170632</v>
      </c>
      <c r="I13" s="5">
        <f>'3 Statement Model'!I27</f>
        <v>0.14390157408883728</v>
      </c>
      <c r="J13" s="5">
        <f>'3 Statement Model'!J27</f>
        <v>0.16494817561402181</v>
      </c>
      <c r="K13" s="5">
        <f>'3 Statement Model'!K27</f>
        <v>0.20701016742485437</v>
      </c>
      <c r="L13" s="5">
        <f>'3 Statement Model'!L27</f>
        <v>0.15050808685993652</v>
      </c>
      <c r="M13" s="5"/>
      <c r="N13" s="5">
        <f t="shared" si="2"/>
        <v>0.17821814989723334</v>
      </c>
      <c r="O13" s="5">
        <f t="shared" si="3"/>
        <v>0.18135365495854178</v>
      </c>
    </row>
    <row r="14" spans="2:15" ht="14.65" thickBot="1" x14ac:dyDescent="0.5">
      <c r="B14" s="58" t="s">
        <v>159</v>
      </c>
      <c r="C14" s="61">
        <f>'3 Statement Model'!C33</f>
        <v>0.12397864553736164</v>
      </c>
      <c r="D14" s="61">
        <f>'3 Statement Model'!D33</f>
        <v>0.1338634536339488</v>
      </c>
      <c r="E14" s="61">
        <f>'3 Statement Model'!E33</f>
        <v>0.12467019920295051</v>
      </c>
      <c r="F14" s="61">
        <f>'3 Statement Model'!F33</f>
        <v>0.11476221834259964</v>
      </c>
      <c r="G14" s="61">
        <f>'3 Statement Model'!G33</f>
        <v>0.13725969447708566</v>
      </c>
      <c r="H14" s="61">
        <f>'3 Statement Model'!H33</f>
        <v>0.14768944939825804</v>
      </c>
      <c r="I14" s="61">
        <f>'3 Statement Model'!I33</f>
        <v>0.10600255383955616</v>
      </c>
      <c r="J14" s="61">
        <f>'3 Statement Model'!J33</f>
        <v>0.12164399878336565</v>
      </c>
      <c r="K14" s="61">
        <f>'3 Statement Model'!K33</f>
        <v>0.15657789198565536</v>
      </c>
      <c r="L14" s="61">
        <f>'3 Statement Model'!L33</f>
        <v>0.10941283480437761</v>
      </c>
      <c r="M14" s="61"/>
      <c r="N14" s="61">
        <f t="shared" si="2"/>
        <v>0.1275860940005159</v>
      </c>
      <c r="O14" s="61">
        <f t="shared" si="3"/>
        <v>0.12432442237015608</v>
      </c>
    </row>
    <row r="15" spans="2:15" ht="14.65" thickBot="1" x14ac:dyDescent="0.5"/>
    <row r="16" spans="2:15" x14ac:dyDescent="0.45">
      <c r="B16" s="53" t="s">
        <v>161</v>
      </c>
      <c r="C16" s="55">
        <f>'3 Statement Model'!C16</f>
        <v>0.14943148893353111</v>
      </c>
      <c r="D16" s="55">
        <f>'3 Statement Model'!D16</f>
        <v>0.15506383950593511</v>
      </c>
      <c r="E16" s="55">
        <f>'3 Statement Model'!E16</f>
        <v>0.14421604143944414</v>
      </c>
      <c r="F16" s="55">
        <f>'3 Statement Model'!F16</f>
        <v>0.13354275672773522</v>
      </c>
      <c r="G16" s="55">
        <f>'3 Statement Model'!G16</f>
        <v>0.14306190859051271</v>
      </c>
      <c r="H16" s="55">
        <f>'3 Statement Model'!H16</f>
        <v>0.12997500551518251</v>
      </c>
      <c r="I16" s="55">
        <f>'3 Statement Model'!I16</f>
        <v>0.1273861493377611</v>
      </c>
      <c r="J16" s="55">
        <f>'3 Statement Model'!J16</f>
        <v>0.12937757095897515</v>
      </c>
      <c r="K16" s="55">
        <f>'3 Statement Model'!K16</f>
        <v>0.1380419008681007</v>
      </c>
      <c r="L16" s="55">
        <f>'3 Statement Model'!L16</f>
        <v>0.15213230137068723</v>
      </c>
      <c r="M16" s="53"/>
      <c r="N16" s="55">
        <f>AVERAGE(C16:L16)</f>
        <v>0.14022289632478649</v>
      </c>
      <c r="O16" s="55">
        <f>MEDIAN(C16:L16)</f>
        <v>0.1405519047293067</v>
      </c>
    </row>
    <row r="17" spans="2:15" x14ac:dyDescent="0.45">
      <c r="B17" t="s">
        <v>162</v>
      </c>
      <c r="C17" s="5">
        <f>'3 Statement Model'!C20/'3 Statement Model'!C6</f>
        <v>1.9309826794539322E-2</v>
      </c>
      <c r="D17" s="5">
        <f>'3 Statement Model'!D20/'3 Statement Model'!D6</f>
        <v>2.2227474590011016E-2</v>
      </c>
      <c r="E17" s="5">
        <f>'3 Statement Model'!E20/'3 Statement Model'!E6</f>
        <v>2.1425238713665449E-2</v>
      </c>
      <c r="F17" s="5">
        <f>'3 Statement Model'!F20/'3 Statement Model'!F6</f>
        <v>3.2335540352378074E-2</v>
      </c>
      <c r="G17" s="5">
        <f>'3 Statement Model'!G20/'3 Statement Model'!G6</f>
        <v>3.8617106809326486E-2</v>
      </c>
      <c r="H17" s="5">
        <f>'3 Statement Model'!H20/'3 Statement Model'!H6</f>
        <v>3.6442576011650275E-2</v>
      </c>
      <c r="I17" s="5">
        <f>'3 Statement Model'!I20/'3 Statement Model'!I6</f>
        <v>2.8052374328551871E-2</v>
      </c>
      <c r="J17" s="5">
        <f>'3 Statement Model'!J20/'3 Statement Model'!J6</f>
        <v>2.4878372818372688E-2</v>
      </c>
      <c r="K17" s="5">
        <f>'3 Statement Model'!K20/'3 Statement Model'!K6</f>
        <v>2.4031736542297968E-2</v>
      </c>
      <c r="L17" s="5">
        <f>'3 Statement Model'!L20/'3 Statement Model'!L6</f>
        <v>3.0270497929251843E-2</v>
      </c>
      <c r="N17" s="5">
        <f t="shared" ref="N17:N18" si="4">AVERAGE(C17:L17)</f>
        <v>2.7759074489004498E-2</v>
      </c>
      <c r="O17" s="5">
        <f t="shared" ref="O17:O18" si="5">MEDIAN(C17:L17)</f>
        <v>2.6465373573462278E-2</v>
      </c>
    </row>
    <row r="18" spans="2:15" ht="14.65" thickBot="1" x14ac:dyDescent="0.5">
      <c r="B18" s="58" t="s">
        <v>163</v>
      </c>
      <c r="C18" s="61">
        <f>'3 Statement Model'!C22/'3 Statement Model'!C6</f>
        <v>0.17163309507276406</v>
      </c>
      <c r="D18" s="61">
        <f>'3 Statement Model'!D22/'3 Statement Model'!D6</f>
        <v>0.17653510591893901</v>
      </c>
      <c r="E18" s="61">
        <f>'3 Statement Model'!E22/'3 Statement Model'!E6</f>
        <v>0.16901135543001156</v>
      </c>
      <c r="F18" s="61">
        <f>'3 Statement Model'!F22/'3 Statement Model'!F6</f>
        <v>0.16334608965739844</v>
      </c>
      <c r="G18" s="61">
        <f>'3 Statement Model'!G22/'3 Statement Model'!G6</f>
        <v>0.16729643144288442</v>
      </c>
      <c r="H18" s="61">
        <f>'3 Statement Model'!H22/'3 Statement Model'!H6</f>
        <v>0.18718598577152007</v>
      </c>
      <c r="I18" s="61">
        <f>'3 Statement Model'!I22/'3 Statement Model'!I6</f>
        <v>0.13701287366053996</v>
      </c>
      <c r="J18" s="61">
        <f>'3 Statement Model'!J22/'3 Statement Model'!J6</f>
        <v>0.15662629292760291</v>
      </c>
      <c r="K18" s="61">
        <f>'3 Statement Model'!K22/'3 Statement Model'!K6</f>
        <v>0.18966139480424279</v>
      </c>
      <c r="L18" s="61">
        <f>'3 Statement Model'!L22/'3 Statement Model'!L6</f>
        <v>0.14687447095791203</v>
      </c>
      <c r="M18" s="58"/>
      <c r="N18" s="61">
        <f t="shared" si="4"/>
        <v>0.16651830956438154</v>
      </c>
      <c r="O18" s="61">
        <f t="shared" si="5"/>
        <v>0.16815389343644799</v>
      </c>
    </row>
    <row r="19" spans="2:15" ht="14.65" thickBot="1" x14ac:dyDescent="0.5"/>
    <row r="20" spans="2:15" x14ac:dyDescent="0.45">
      <c r="B20" s="53" t="s">
        <v>164</v>
      </c>
      <c r="C20" s="66">
        <f>'3 Statement Model'!C22/SUM('3 Statement Model'!C46:C48)</f>
        <v>0.35768409093896003</v>
      </c>
      <c r="D20" s="66">
        <f>'3 Statement Model'!D22/SUM('3 Statement Model'!D46:D48)</f>
        <v>0.32568533713528403</v>
      </c>
      <c r="E20" s="66">
        <f>'3 Statement Model'!E22/SUM('3 Statement Model'!E46:E48)</f>
        <v>0.31793918820706524</v>
      </c>
      <c r="F20" s="66">
        <f>'3 Statement Model'!F22/SUM('3 Statement Model'!F46:F48)</f>
        <v>0.29126564505590763</v>
      </c>
      <c r="G20" s="66">
        <f>'3 Statement Model'!G22/SUM('3 Statement Model'!G46:G48)</f>
        <v>0.3005931373159112</v>
      </c>
      <c r="H20" s="66">
        <f>'3 Statement Model'!H22/SUM('3 Statement Model'!H46:H48)</f>
        <v>0.29241025338485616</v>
      </c>
      <c r="I20" s="66">
        <f>'3 Statement Model'!I22/SUM('3 Statement Model'!I46:I48)</f>
        <v>0.2589385678029722</v>
      </c>
      <c r="J20" s="66">
        <f>'3 Statement Model'!J22/SUM('3 Statement Model'!J46:J48)</f>
        <v>0.30135928613070662</v>
      </c>
      <c r="K20" s="66">
        <f>'3 Statement Model'!K22/SUM('3 Statement Model'!K46:K48)</f>
        <v>0.31750608885291864</v>
      </c>
      <c r="L20" s="66">
        <f>'3 Statement Model'!L22/SUM('3 Statement Model'!L46:L48)</f>
        <v>0.22959184143918202</v>
      </c>
      <c r="M20" s="53"/>
      <c r="N20" s="55">
        <f>AVERAGE(C20:L20)</f>
        <v>0.29929734362637644</v>
      </c>
      <c r="O20" s="55">
        <f>MEDIAN(C20:L20)</f>
        <v>0.30097621172330891</v>
      </c>
    </row>
    <row r="21" spans="2:15" x14ac:dyDescent="0.45">
      <c r="B21" t="s">
        <v>110</v>
      </c>
      <c r="C21" s="5">
        <f>'3 Statement Model'!C42</f>
        <v>0.59341230727494709</v>
      </c>
      <c r="D21" s="5">
        <f>'3 Statement Model'!D42</f>
        <v>0.50999132052076879</v>
      </c>
      <c r="E21" s="5">
        <f>'3 Statement Model'!E42</f>
        <v>0.6021492047751632</v>
      </c>
      <c r="F21" s="5">
        <f>'3 Statement Model'!F42</f>
        <v>0.54386695893190384</v>
      </c>
      <c r="G21" s="5">
        <f>'3 Statement Model'!G42</f>
        <v>0.58508970185892073</v>
      </c>
      <c r="H21" s="5">
        <f>'3 Statement Model'!H42</f>
        <v>0.46607312699773962</v>
      </c>
      <c r="I21" s="5">
        <f>'3 Statement Model'!I42</f>
        <v>0.40454355373588624</v>
      </c>
      <c r="J21" s="5">
        <f>'3 Statement Model'!J42</f>
        <v>0.41355030474360732</v>
      </c>
      <c r="K21" s="5">
        <f>'3 Statement Model'!K42</f>
        <v>0.42527560911097972</v>
      </c>
      <c r="L21" s="5">
        <f>'3 Statement Model'!L42</f>
        <v>0.35875850133837983</v>
      </c>
      <c r="N21" s="5">
        <f t="shared" ref="N21:N23" si="6">AVERAGE(C21:L21)</f>
        <v>0.49027105892882961</v>
      </c>
      <c r="O21" s="5">
        <f t="shared" ref="O21:O23" si="7">MEDIAN(C21:L21)</f>
        <v>0.4880322237592542</v>
      </c>
    </row>
    <row r="22" spans="2:15" x14ac:dyDescent="0.45">
      <c r="B22" t="s">
        <v>165</v>
      </c>
      <c r="C22" s="5">
        <f>'3 Statement Model'!C32/SUM('3 Statement Model'!C46:C47)</f>
        <v>0.27117376418046801</v>
      </c>
      <c r="D22" s="5">
        <f>'3 Statement Model'!D32/SUM('3 Statement Model'!D46:D47)</f>
        <v>0.2651603324088066</v>
      </c>
      <c r="E22" s="5">
        <f>'3 Statement Model'!E32/SUM('3 Statement Model'!E46:E47)</f>
        <v>0.2494010270824937</v>
      </c>
      <c r="F22" s="5">
        <f>'3 Statement Model'!F32/SUM('3 Statement Model'!F46:F47)</f>
        <v>0.2331480220261761</v>
      </c>
      <c r="G22" s="5">
        <f>'3 Statement Model'!G32/SUM('3 Statement Model'!G46:G47)</f>
        <v>0.27385450970172215</v>
      </c>
      <c r="H22" s="5">
        <f>'3 Statement Model'!H32/SUM('3 Statement Model'!H46:H47)</f>
        <v>0.25040429351514004</v>
      </c>
      <c r="I22" s="5">
        <f>'3 Statement Model'!I32/SUM('3 Statement Model'!I46:I47)</f>
        <v>0.22334986055159581</v>
      </c>
      <c r="J22" s="5">
        <f>'3 Statement Model'!J32/SUM('3 Statement Model'!J46:J47)</f>
        <v>0.2623355216877194</v>
      </c>
      <c r="K22" s="5">
        <f>'3 Statement Model'!K32/SUM('3 Statement Model'!K46:K47)</f>
        <v>0.29675357613878472</v>
      </c>
      <c r="L22" s="5">
        <f>'3 Statement Model'!L32/SUM('3 Statement Model'!L46:L47)</f>
        <v>0.19122403776119468</v>
      </c>
      <c r="N22" s="5">
        <f t="shared" si="6"/>
        <v>0.25168049450541008</v>
      </c>
      <c r="O22" s="5">
        <f t="shared" si="7"/>
        <v>0.25636990760142975</v>
      </c>
    </row>
    <row r="23" spans="2:15" x14ac:dyDescent="0.45">
      <c r="B23" t="s">
        <v>166</v>
      </c>
      <c r="C23" s="5">
        <f>C21*C22</f>
        <v>0.16091784907476392</v>
      </c>
      <c r="D23" s="5">
        <f t="shared" ref="D23:K23" si="8">D21*D22</f>
        <v>0.13522946807489328</v>
      </c>
      <c r="E23" s="5">
        <f t="shared" si="8"/>
        <v>0.15017663012783253</v>
      </c>
      <c r="F23" s="5">
        <f t="shared" si="8"/>
        <v>0.12680150572036494</v>
      </c>
      <c r="G23" s="5">
        <f t="shared" si="8"/>
        <v>0.16022945343410153</v>
      </c>
      <c r="H23" s="5">
        <f t="shared" si="8"/>
        <v>0.11670671209226113</v>
      </c>
      <c r="I23" s="5">
        <f t="shared" si="8"/>
        <v>9.0354746313957193E-2</v>
      </c>
      <c r="J23" s="5">
        <f t="shared" si="8"/>
        <v>0.10848893493902957</v>
      </c>
      <c r="K23" s="5">
        <f t="shared" si="8"/>
        <v>0.12620205784828317</v>
      </c>
      <c r="L23" s="5">
        <f>L21*L22</f>
        <v>6.8603249207079955E-2</v>
      </c>
      <c r="N23" s="5">
        <f t="shared" si="6"/>
        <v>0.12437106068325673</v>
      </c>
      <c r="O23" s="5">
        <f t="shared" si="7"/>
        <v>0.12650178178432406</v>
      </c>
    </row>
    <row r="24" spans="2:15" ht="14.65" thickBot="1" x14ac:dyDescent="0.5">
      <c r="B24" s="58" t="s">
        <v>167</v>
      </c>
      <c r="C24" s="67">
        <f>'3 Statement Model'!C22/'3 Statement Model'!C24</f>
        <v>49.988979591836767</v>
      </c>
      <c r="D24" s="67">
        <f>'3 Statement Model'!D22/'3 Statement Model'!D24</f>
        <v>71.228770425930904</v>
      </c>
      <c r="E24" s="67">
        <f>'3 Statement Model'!E22/'3 Statement Model'!E24</f>
        <v>68.568603809983145</v>
      </c>
      <c r="F24" s="67">
        <f>'3 Statement Model'!F22/'3 Statement Model'!F24</f>
        <v>28.449352765456698</v>
      </c>
      <c r="G24" s="67">
        <f>'3 Statement Model'!G22/'3 Statement Model'!G24</f>
        <v>33.04280269715624</v>
      </c>
      <c r="H24" s="67">
        <f>'3 Statement Model'!H22/'3 Statement Model'!H24</f>
        <v>44.355887809669362</v>
      </c>
      <c r="I24" s="67">
        <f>'3 Statement Model'!I22/'3 Statement Model'!I24</f>
        <v>41.790692799496895</v>
      </c>
      <c r="J24" s="67">
        <f>'3 Statement Model'!J22/'3 Statement Model'!J24</f>
        <v>37.39577708549669</v>
      </c>
      <c r="K24" s="67">
        <f>'3 Statement Model'!K22/'3 Statement Model'!K24</f>
        <v>32.811717112638306</v>
      </c>
      <c r="L24" s="67">
        <f>'3 Statement Model'!L22/'3 Statement Model'!L24</f>
        <v>21.935820632543393</v>
      </c>
      <c r="M24" s="58"/>
      <c r="N24" s="67">
        <f>AVERAGE(C24:L24)</f>
        <v>42.956840473020833</v>
      </c>
      <c r="O24" s="67">
        <f>MEDIAN(C24:L24)</f>
        <v>39.593234942496792</v>
      </c>
    </row>
    <row r="25" spans="2:15" ht="14.65" thickBot="1" x14ac:dyDescent="0.5"/>
    <row r="26" spans="2:15" x14ac:dyDescent="0.45">
      <c r="B26" s="53" t="s">
        <v>168</v>
      </c>
      <c r="C26" s="68">
        <f>'3 Statement Model'!C6/'3 Statement Model'!C58</f>
        <v>12.024780088301709</v>
      </c>
      <c r="D26" s="68">
        <f>'3 Statement Model'!D6/'3 Statement Model'!D58</f>
        <v>10.41199364025992</v>
      </c>
      <c r="E26" s="68">
        <f>'3 Statement Model'!E6/'3 Statement Model'!E58</f>
        <v>9.7216331624899599</v>
      </c>
      <c r="F26" s="68">
        <f>'3 Statement Model'!F6/'3 Statement Model'!F58</f>
        <v>10.08746782150965</v>
      </c>
      <c r="G26" s="68">
        <f>'3 Statement Model'!G6/'3 Statement Model'!G58</f>
        <v>11.258369447755706</v>
      </c>
      <c r="H26" s="68">
        <f>'3 Statement Model'!H6/'3 Statement Model'!H58</f>
        <v>8.3441089552181449</v>
      </c>
      <c r="I26" s="68">
        <f>'3 Statement Model'!I6/'3 Statement Model'!I58</f>
        <v>7.5169136032070751</v>
      </c>
      <c r="J26" s="68">
        <f>'3 Statement Model'!J6/'3 Statement Model'!J58</f>
        <v>7.4377908707035241</v>
      </c>
      <c r="K26" s="68">
        <f>'3 Statement Model'!K6/'3 Statement Model'!K58</f>
        <v>7.2600464302880932</v>
      </c>
      <c r="L26" s="68">
        <f>'3 Statement Model'!L6/'3 Statement Model'!L58</f>
        <v>7.8600767331610131</v>
      </c>
      <c r="M26" s="53"/>
      <c r="N26" s="68">
        <f>AVERAGE(C26:L26)</f>
        <v>9.1923180752894798</v>
      </c>
      <c r="O26" s="68">
        <f>MEDIAN(C26:L26)</f>
        <v>9.0328710588540524</v>
      </c>
    </row>
    <row r="27" spans="2:15" x14ac:dyDescent="0.45">
      <c r="B27" t="s">
        <v>169</v>
      </c>
      <c r="C27" s="69">
        <f>'3 Statement Model'!C6/'3 Statement Model'!C49</f>
        <v>3.8458091254998759</v>
      </c>
      <c r="D27" s="69">
        <f>'3 Statement Model'!D6/'3 Statement Model'!D49</f>
        <v>3.5515520070927336</v>
      </c>
      <c r="E27" s="69">
        <f>'3 Statement Model'!E6/'3 Statement Model'!E49</f>
        <v>3.4907008975438916</v>
      </c>
      <c r="F27" s="69">
        <f>'3 Statement Model'!F6/'3 Statement Model'!F49</f>
        <v>3.5246789980746303</v>
      </c>
      <c r="G27" s="69">
        <f>'3 Statement Model'!G6/'3 Statement Model'!G49</f>
        <v>4.1337632508472559</v>
      </c>
      <c r="H27" s="69">
        <f>'3 Statement Model'!H6/'3 Statement Model'!H49</f>
        <v>3.3632319433451108</v>
      </c>
      <c r="I27" s="69">
        <f>'3 Statement Model'!I6/'3 Statement Model'!I49</f>
        <v>3.8493807531491444</v>
      </c>
      <c r="J27" s="69">
        <f>'3 Statement Model'!J6/'3 Statement Model'!J49</f>
        <v>4.3909450402827428</v>
      </c>
      <c r="K27" s="69">
        <f>'3 Statement Model'!K6/'3 Statement Model'!K49</f>
        <v>4.0807499117622381</v>
      </c>
      <c r="L27" s="69">
        <f>'3 Statement Model'!L6/'3 Statement Model'!L49</f>
        <v>3.9128716756201571</v>
      </c>
      <c r="N27" s="69">
        <f t="shared" ref="N27:N30" si="9">AVERAGE(C27:L27)</f>
        <v>3.8143683603217786</v>
      </c>
      <c r="O27" s="69">
        <f t="shared" ref="O27:O30" si="10">MEDIAN(C27:L27)</f>
        <v>3.8475949393245101</v>
      </c>
    </row>
    <row r="28" spans="2:15" x14ac:dyDescent="0.45">
      <c r="B28" t="s">
        <v>170</v>
      </c>
      <c r="C28" s="69">
        <f>'3 Statement Model'!C9/'3 Statement Model'!C59</f>
        <v>4.7110657378493066</v>
      </c>
      <c r="D28" s="69">
        <f>'3 Statement Model'!D9/'3 Statement Model'!D59</f>
        <v>3.7049418715311351</v>
      </c>
      <c r="E28" s="69">
        <f>'3 Statement Model'!E9/'3 Statement Model'!E59</f>
        <v>4.2110100025956338</v>
      </c>
      <c r="F28" s="69">
        <f>'3 Statement Model'!F9/'3 Statement Model'!F59</f>
        <v>4.0972646403332211</v>
      </c>
      <c r="G28" s="69">
        <f>'3 Statement Model'!G9/'3 Statement Model'!G59</f>
        <v>3.8816393839182735</v>
      </c>
      <c r="H28" s="69">
        <f>'3 Statement Model'!H9/'3 Statement Model'!H59</f>
        <v>3.6948007160532823</v>
      </c>
      <c r="I28" s="69">
        <f>'3 Statement Model'!I9/'3 Statement Model'!I59</f>
        <v>3.3464386362380507</v>
      </c>
      <c r="J28" s="69">
        <f>'3 Statement Model'!J9/'3 Statement Model'!J59</f>
        <v>3.8267714760475569</v>
      </c>
      <c r="K28" s="69">
        <f>'3 Statement Model'!K9/'3 Statement Model'!K59</f>
        <v>3.8845850616452351</v>
      </c>
      <c r="L28" s="69">
        <f>'3 Statement Model'!L9/'3 Statement Model'!L59</f>
        <v>3.3844852193765096</v>
      </c>
      <c r="N28" s="69">
        <f t="shared" si="9"/>
        <v>3.8743002745588209</v>
      </c>
      <c r="O28" s="69">
        <f t="shared" si="10"/>
        <v>3.8542054299829154</v>
      </c>
    </row>
    <row r="29" spans="2:15" x14ac:dyDescent="0.45">
      <c r="B29" t="s">
        <v>171</v>
      </c>
      <c r="C29" s="69">
        <f>'3 Statement Model'!C6/'3 Statement Model'!C53</f>
        <v>4.1774086378737545</v>
      </c>
      <c r="D29" s="69">
        <f>'3 Statement Model'!D6/'3 Statement Model'!D53</f>
        <v>4.5590724451682032</v>
      </c>
      <c r="E29" s="69">
        <f>'3 Statement Model'!E6/'3 Statement Model'!E53</f>
        <v>4.50789606241828</v>
      </c>
      <c r="F29" s="69">
        <f>'3 Statement Model'!F6/'3 Statement Model'!F53</f>
        <v>2.9615873631583485</v>
      </c>
      <c r="G29" s="69">
        <f>'3 Statement Model'!G6/'3 Statement Model'!G53</f>
        <v>3.2222976861794139</v>
      </c>
      <c r="H29" s="69">
        <f>'3 Statement Model'!H6/'3 Statement Model'!H53</f>
        <v>3.7061903006220001</v>
      </c>
      <c r="I29" s="69">
        <f>'3 Statement Model'!I6/'3 Statement Model'!I53</f>
        <v>5.2728689305787571</v>
      </c>
      <c r="J29" s="69">
        <f>'3 Statement Model'!J6/'3 Statement Model'!J53</f>
        <v>5.9767488207179316</v>
      </c>
      <c r="K29" s="69">
        <f>'3 Statement Model'!K6/'3 Statement Model'!K53</f>
        <v>4.9666457710078333</v>
      </c>
      <c r="L29" s="69">
        <f>'3 Statement Model'!L6/'3 Statement Model'!L53</f>
        <v>3.6773592477305019</v>
      </c>
      <c r="N29" s="69">
        <f t="shared" si="9"/>
        <v>4.3028075265455019</v>
      </c>
      <c r="O29" s="69">
        <f t="shared" si="10"/>
        <v>4.3426523501460172</v>
      </c>
    </row>
    <row r="30" spans="2:15" ht="14.65" thickBot="1" x14ac:dyDescent="0.5">
      <c r="B30" s="58" t="s">
        <v>172</v>
      </c>
      <c r="C30" s="67">
        <f>'3 Statement Model'!C6/SUM('3 Statement Model'!C46:C48)</f>
        <v>2.0840041996988949</v>
      </c>
      <c r="D30" s="67">
        <f>'3 Statement Model'!D6/SUM('3 Statement Model'!D46:D48)</f>
        <v>1.8448757568074392</v>
      </c>
      <c r="E30" s="67">
        <f>'3 Statement Model'!E6/SUM('3 Statement Model'!E46:E48)</f>
        <v>1.8811705722265828</v>
      </c>
      <c r="F30" s="67">
        <f>'3 Statement Model'!F6/SUM('3 Statement Model'!F46:F48)</f>
        <v>1.7831197898082976</v>
      </c>
      <c r="G30" s="67">
        <f>'3 Statement Model'!G6/SUM('3 Statement Model'!G46:G48)</f>
        <v>1.7967695707755413</v>
      </c>
      <c r="H30" s="67">
        <f>'3 Statement Model'!H6/SUM('3 Statement Model'!H46:H48)</f>
        <v>1.5621375295785938</v>
      </c>
      <c r="I30" s="67">
        <f>'3 Statement Model'!I6/SUM('3 Statement Model'!I46:I48)</f>
        <v>1.8898849493844831</v>
      </c>
      <c r="J30" s="67">
        <f>'3 Statement Model'!J6/SUM('3 Statement Model'!J46:J48)</f>
        <v>1.9240657522936035</v>
      </c>
      <c r="K30" s="67">
        <f>'3 Statement Model'!K6/SUM('3 Statement Model'!K46:K48)</f>
        <v>1.6740680895056663</v>
      </c>
      <c r="L30" s="67">
        <f>'3 Statement Model'!L6/SUM('3 Statement Model'!L46:L48)</f>
        <v>1.5631841254766001</v>
      </c>
      <c r="M30" s="58"/>
      <c r="N30" s="67">
        <f t="shared" si="9"/>
        <v>1.80032803355557</v>
      </c>
      <c r="O30" s="67">
        <f t="shared" si="10"/>
        <v>1.8208226637914904</v>
      </c>
    </row>
    <row r="31" spans="2:15" ht="14.65" thickBot="1" x14ac:dyDescent="0.5"/>
    <row r="32" spans="2:15" x14ac:dyDescent="0.45">
      <c r="B32" s="53" t="s">
        <v>173</v>
      </c>
      <c r="C32" s="70">
        <f>365/C26</f>
        <v>30.353985463325834</v>
      </c>
      <c r="D32" s="70">
        <f t="shared" ref="D32:L32" si="11">365/D26</f>
        <v>35.055726368162503</v>
      </c>
      <c r="E32" s="70">
        <f t="shared" si="11"/>
        <v>37.545131964896534</v>
      </c>
      <c r="F32" s="70">
        <f t="shared" si="11"/>
        <v>36.183510714324697</v>
      </c>
      <c r="G32" s="70">
        <f t="shared" si="11"/>
        <v>32.420325313872226</v>
      </c>
      <c r="H32" s="70">
        <f t="shared" si="11"/>
        <v>43.743436472235949</v>
      </c>
      <c r="I32" s="70">
        <f t="shared" si="11"/>
        <v>48.557163121347244</v>
      </c>
      <c r="J32" s="70">
        <f t="shared" si="11"/>
        <v>49.073711044725229</v>
      </c>
      <c r="K32" s="70">
        <f t="shared" si="11"/>
        <v>50.275160566089667</v>
      </c>
      <c r="L32" s="70">
        <f t="shared" si="11"/>
        <v>46.437205690384069</v>
      </c>
      <c r="M32" s="53"/>
      <c r="N32" s="70">
        <f>AVERAGE(C32:L32)</f>
        <v>40.964535671936389</v>
      </c>
      <c r="O32" s="70">
        <f>MEDIAN(C32:L32)</f>
        <v>40.644284218566241</v>
      </c>
    </row>
    <row r="33" spans="2:15" x14ac:dyDescent="0.45">
      <c r="B33" t="s">
        <v>174</v>
      </c>
      <c r="C33" s="71">
        <f>365/C27</f>
        <v>94.908506399822301</v>
      </c>
      <c r="D33" s="71">
        <f t="shared" ref="D33:L33" si="12">365/D27</f>
        <v>102.77197103437196</v>
      </c>
      <c r="E33" s="71">
        <f t="shared" si="12"/>
        <v>104.56352770207822</v>
      </c>
      <c r="F33" s="71">
        <f t="shared" si="12"/>
        <v>103.55552951045547</v>
      </c>
      <c r="G33" s="71">
        <f t="shared" si="12"/>
        <v>88.297267610860303</v>
      </c>
      <c r="H33" s="71">
        <f t="shared" si="12"/>
        <v>108.52656199410578</v>
      </c>
      <c r="I33" s="71">
        <f t="shared" si="12"/>
        <v>94.820446042235943</v>
      </c>
      <c r="J33" s="71">
        <f t="shared" si="12"/>
        <v>83.125613427513272</v>
      </c>
      <c r="K33" s="71">
        <f t="shared" si="12"/>
        <v>89.444344273079395</v>
      </c>
      <c r="L33" s="71">
        <f t="shared" si="12"/>
        <v>93.281873329554202</v>
      </c>
      <c r="N33" s="71">
        <f t="shared" ref="N33:N34" si="13">AVERAGE(C33:L33)</f>
        <v>96.329564132407683</v>
      </c>
      <c r="O33" s="71">
        <f t="shared" ref="O33:O35" si="14">MEDIAN(C33:L33)</f>
        <v>94.864476221029122</v>
      </c>
    </row>
    <row r="34" spans="2:15" x14ac:dyDescent="0.45">
      <c r="B34" t="s">
        <v>175</v>
      </c>
      <c r="C34" s="71">
        <f>365/C28</f>
        <v>77.477161285936461</v>
      </c>
      <c r="D34" s="71">
        <f t="shared" ref="D34:L34" si="15">365/D28</f>
        <v>98.517065221635193</v>
      </c>
      <c r="E34" s="71">
        <f t="shared" si="15"/>
        <v>86.677542863830013</v>
      </c>
      <c r="F34" s="71">
        <f t="shared" si="15"/>
        <v>89.083823487251095</v>
      </c>
      <c r="G34" s="71">
        <f t="shared" si="15"/>
        <v>94.032434211226288</v>
      </c>
      <c r="H34" s="71">
        <f t="shared" si="15"/>
        <v>98.787465969175798</v>
      </c>
      <c r="I34" s="71">
        <f t="shared" si="15"/>
        <v>109.07117675712716</v>
      </c>
      <c r="J34" s="71">
        <f t="shared" si="15"/>
        <v>95.380662860220397</v>
      </c>
      <c r="K34" s="71">
        <f t="shared" si="15"/>
        <v>93.961129492016283</v>
      </c>
      <c r="L34" s="71">
        <f t="shared" si="15"/>
        <v>107.84505658654948</v>
      </c>
      <c r="N34" s="71">
        <f t="shared" si="13"/>
        <v>95.083351873496824</v>
      </c>
      <c r="O34" s="71">
        <f t="shared" si="14"/>
        <v>94.706548535723343</v>
      </c>
    </row>
    <row r="35" spans="2:15" ht="14.65" thickBot="1" x14ac:dyDescent="0.5">
      <c r="B35" s="58" t="s">
        <v>179</v>
      </c>
      <c r="C35" s="72">
        <f>C34+C32-C33</f>
        <v>12.922640349440002</v>
      </c>
      <c r="D35" s="72">
        <f t="shared" ref="D35:L35" si="16">D34+D32-D33</f>
        <v>30.800820555425744</v>
      </c>
      <c r="E35" s="72">
        <f t="shared" si="16"/>
        <v>19.659147126648335</v>
      </c>
      <c r="F35" s="72">
        <f t="shared" si="16"/>
        <v>21.711804691120321</v>
      </c>
      <c r="G35" s="72">
        <f t="shared" si="16"/>
        <v>38.155491914238212</v>
      </c>
      <c r="H35" s="72">
        <f t="shared" si="16"/>
        <v>34.004340447305964</v>
      </c>
      <c r="I35" s="72">
        <f t="shared" si="16"/>
        <v>62.807893836238463</v>
      </c>
      <c r="J35" s="72">
        <f t="shared" si="16"/>
        <v>61.32876047743234</v>
      </c>
      <c r="K35" s="72">
        <f t="shared" si="16"/>
        <v>54.79194578502657</v>
      </c>
      <c r="L35" s="72">
        <f t="shared" si="16"/>
        <v>61.000388947379349</v>
      </c>
      <c r="M35" s="58"/>
      <c r="N35" s="72">
        <f>AVERAGE(C35:L35)</f>
        <v>39.718323413025537</v>
      </c>
      <c r="O35" s="72">
        <f t="shared" si="14"/>
        <v>36.079916180772088</v>
      </c>
    </row>
    <row r="36" spans="2:15" ht="14.65" thickBot="1" x14ac:dyDescent="0.5"/>
    <row r="37" spans="2:15" x14ac:dyDescent="0.45">
      <c r="B37" s="53" t="s">
        <v>178</v>
      </c>
      <c r="C37" s="55">
        <f>'3 Statement Model'!C76/'3 Statement Model'!C6</f>
        <v>0.15723656044323334</v>
      </c>
      <c r="D37" s="55">
        <f>'3 Statement Model'!D76/'3 Statement Model'!D6</f>
        <v>0.101447418302628</v>
      </c>
      <c r="E37" s="55">
        <f>'3 Statement Model'!E76/'3 Statement Model'!E6</f>
        <v>0.12559028324680305</v>
      </c>
      <c r="F37" s="55">
        <f>'3 Statement Model'!F76/'3 Statement Model'!F6</f>
        <v>0.12832553626196913</v>
      </c>
      <c r="G37" s="55">
        <f>'3 Statement Model'!G76/'3 Statement Model'!G6</f>
        <v>0.15026284866101799</v>
      </c>
      <c r="H37" s="55">
        <f>'3 Statement Model'!H76/'3 Statement Model'!H6</f>
        <v>0.16962352604156353</v>
      </c>
      <c r="I37" s="55">
        <f>'3 Statement Model'!I76/'3 Statement Model'!I6</f>
        <v>3.3916033933902565E-2</v>
      </c>
      <c r="J37" s="55">
        <f>'3 Statement Model'!J76/'3 Statement Model'!J6</f>
        <v>0.12160543530483561</v>
      </c>
      <c r="K37" s="55">
        <f>'3 Statement Model'!K76/'3 Statement Model'!K6</f>
        <v>0.171969190919328</v>
      </c>
      <c r="L37" s="55">
        <f>'3 Statement Model'!L76/'3 Statement Model'!L6</f>
        <v>0.13050933739008458</v>
      </c>
      <c r="M37" s="53"/>
      <c r="N37" s="55">
        <f>AVERAGE(C37:L37)</f>
        <v>0.12904861705053655</v>
      </c>
      <c r="O37" s="55">
        <f>MEDIAN(C37:L37)</f>
        <v>0.12941743682602685</v>
      </c>
    </row>
    <row r="38" spans="2:15" x14ac:dyDescent="0.45">
      <c r="B38" t="s">
        <v>176</v>
      </c>
      <c r="C38" s="5">
        <f>'3 Statement Model'!C76/'3 Statement Model'!C64</f>
        <v>0.21251952120601988</v>
      </c>
      <c r="D38" s="5">
        <f>'3 Statement Model'!D76/'3 Statement Model'!D64</f>
        <v>0.12317425206707838</v>
      </c>
      <c r="E38" s="5">
        <f>'3 Statement Model'!E76/'3 Statement Model'!E64</f>
        <v>0.15352221967118782</v>
      </c>
      <c r="F38" s="5">
        <f>'3 Statement Model'!F76/'3 Statement Model'!F64</f>
        <v>0.15194930838139831</v>
      </c>
      <c r="G38" s="5">
        <f>'3 Statement Model'!G76/'3 Statement Model'!G64</f>
        <v>0.18818971655047073</v>
      </c>
      <c r="H38" s="5">
        <f>'3 Statement Model'!H76/'3 Statement Model'!H64</f>
        <v>0.18093532213168634</v>
      </c>
      <c r="I38" s="5">
        <f>'3 Statement Model'!I76/'3 Statement Model'!I64</f>
        <v>4.2990744576175285E-2</v>
      </c>
      <c r="J38" s="5">
        <f>'3 Statement Model'!J76/'3 Statement Model'!J64</f>
        <v>0.16268847949112719</v>
      </c>
      <c r="K38" s="5">
        <f>'3 Statement Model'!K76/'3 Statement Model'!K64</f>
        <v>0.20414190002464819</v>
      </c>
      <c r="L38" s="5">
        <f>'3 Statement Model'!L76/'3 Statement Model'!L64</f>
        <v>0.1457737953072368</v>
      </c>
      <c r="N38" s="5">
        <f t="shared" ref="N38:N39" si="17">AVERAGE(C38:L38)</f>
        <v>0.15658852594070288</v>
      </c>
      <c r="O38" s="5">
        <f t="shared" ref="O38:O39" si="18">MEDIAN(C38:L38)</f>
        <v>0.15810534958115752</v>
      </c>
    </row>
    <row r="39" spans="2:15" ht="14.65" thickBot="1" x14ac:dyDescent="0.5">
      <c r="B39" s="58" t="s">
        <v>177</v>
      </c>
      <c r="C39" s="61">
        <f>'3 Statement Model'!C76/'3 Statement Model'!C48</f>
        <v>6.9411364409663143</v>
      </c>
      <c r="D39" s="61">
        <f>'3 Statement Model'!D76/'3 Statement Model'!D48</f>
        <v>2.7269158011207479</v>
      </c>
      <c r="E39" s="61">
        <f>'3 Statement Model'!E76/'3 Statement Model'!E48</f>
        <v>3.9611570402864484</v>
      </c>
      <c r="F39" s="61">
        <f>'3 Statement Model'!F76/'3 Statement Model'!F48</f>
        <v>1.8710215216732344</v>
      </c>
      <c r="G39" s="61">
        <f>'3 Statement Model'!G76/'3 Statement Model'!G48</f>
        <v>2.7152436298614218</v>
      </c>
      <c r="H39" s="61">
        <f>'3 Statement Model'!H76/'3 Statement Model'!H48</f>
        <v>3.3692549765807964</v>
      </c>
      <c r="I39" s="61">
        <f>'3 Statement Model'!I76/'3 Statement Model'!I48</f>
        <v>0.62197519661222012</v>
      </c>
      <c r="J39" s="61">
        <f>'3 Statement Model'!J76/'3 Statement Model'!J48</f>
        <v>2.1701110409702893</v>
      </c>
      <c r="K39" s="61">
        <f>'3 Statement Model'!K76/'3 Statement Model'!K48</f>
        <v>2.4668805923099928</v>
      </c>
      <c r="L39" s="61">
        <f>'3 Statement Model'!L76/'3 Statement Model'!L48</f>
        <v>1.9320697378934546</v>
      </c>
      <c r="M39" s="58"/>
      <c r="N39" s="61">
        <f t="shared" si="17"/>
        <v>2.8775765978274914</v>
      </c>
      <c r="O39" s="61">
        <f t="shared" si="18"/>
        <v>2.5910621110857073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82CCB9B8-3970-4B52-BDBB-902A7D6031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high="1" xr2:uid="{2DE88004-3B81-4F25-A9FA-7B15A1C0E4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</x14:sparklines>
        </x14:sparklineGroup>
        <x14:sparklineGroup displayEmptyCellsAs="gap" markers="1" high="1" xr2:uid="{79CFFE50-F3E7-4511-9729-12F745F98D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</x14:sparklines>
        </x14:sparklineGroup>
        <x14:sparklineGroup displayEmptyCellsAs="gap" markers="1" high="1" xr2:uid="{E1F2BD2B-A0BB-4F69-A11A-E00443DE74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</x14:sparklines>
        </x14:sparklineGroup>
        <x14:sparklineGroup displayEmptyCellsAs="gap" markers="1" high="1" xr2:uid="{344A879E-EE76-463E-9F7A-1770D204B1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</x14:sparklines>
        </x14:sparklineGroup>
        <x14:sparklineGroup displayEmptyCellsAs="gap" markers="1" xr2:uid="{2D63750F-861B-4C57-8239-0FF3C607DE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</x14:sparklines>
        </x14:sparklineGroup>
        <x14:sparklineGroup displayEmptyCellsAs="gap" markers="1" xr2:uid="{0E049359-9C53-445F-8EB8-14C67C1E4F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82BF-6752-4752-8B24-F52E97B5C3E8}">
  <sheetPr>
    <tabColor theme="7" tint="0.79998168889431442"/>
  </sheetPr>
  <dimension ref="C2:R20"/>
  <sheetViews>
    <sheetView showGridLines="0" zoomScale="92" workbookViewId="0">
      <selection activeCell="Q6" sqref="Q6"/>
    </sheetView>
  </sheetViews>
  <sheetFormatPr defaultRowHeight="14.25" x14ac:dyDescent="0.45"/>
  <cols>
    <col min="1" max="1" width="2.06640625" customWidth="1"/>
    <col min="3" max="3" width="12.19921875" customWidth="1"/>
    <col min="4" max="4" width="9.19921875" bestFit="1" customWidth="1"/>
    <col min="5" max="5" width="10.33203125" bestFit="1" customWidth="1"/>
    <col min="6" max="6" width="14.53125" bestFit="1" customWidth="1"/>
    <col min="8" max="8" width="11.46484375" bestFit="1" customWidth="1"/>
    <col min="10" max="10" width="9.33203125" bestFit="1" customWidth="1"/>
    <col min="11" max="11" width="14.19921875" customWidth="1"/>
    <col min="12" max="12" width="15.3984375" customWidth="1"/>
    <col min="14" max="14" width="11.46484375" bestFit="1" customWidth="1"/>
    <col min="16" max="16" width="9.33203125" bestFit="1" customWidth="1"/>
    <col min="17" max="17" width="16.1328125" customWidth="1"/>
    <col min="18" max="18" width="16.6640625" customWidth="1"/>
  </cols>
  <sheetData>
    <row r="2" spans="3:18" ht="14.65" thickBot="1" x14ac:dyDescent="0.5"/>
    <row r="3" spans="3:18" x14ac:dyDescent="0.45">
      <c r="C3" s="107" t="s">
        <v>181</v>
      </c>
      <c r="D3" s="108"/>
      <c r="E3" s="108"/>
      <c r="F3" s="109"/>
      <c r="G3" s="73"/>
      <c r="H3" s="107" t="s">
        <v>184</v>
      </c>
      <c r="I3" s="108"/>
      <c r="J3" s="108"/>
      <c r="K3" s="108"/>
      <c r="L3" s="109"/>
      <c r="N3" s="107" t="s">
        <v>185</v>
      </c>
      <c r="O3" s="108"/>
      <c r="P3" s="108"/>
      <c r="Q3" s="108"/>
      <c r="R3" s="109"/>
    </row>
    <row r="4" spans="3:18" x14ac:dyDescent="0.45">
      <c r="C4" s="88" t="s">
        <v>182</v>
      </c>
      <c r="D4" s="82" t="s">
        <v>81</v>
      </c>
      <c r="E4" s="82" t="s">
        <v>183</v>
      </c>
      <c r="F4" s="89" t="s">
        <v>87</v>
      </c>
      <c r="G4" s="73"/>
      <c r="H4" s="98" t="s">
        <v>182</v>
      </c>
      <c r="I4" s="97" t="s">
        <v>81</v>
      </c>
      <c r="J4" s="97" t="s">
        <v>95</v>
      </c>
      <c r="K4" s="97" t="s">
        <v>153</v>
      </c>
      <c r="L4" s="99" t="s">
        <v>96</v>
      </c>
      <c r="N4" s="98" t="s">
        <v>182</v>
      </c>
      <c r="O4" s="97" t="s">
        <v>81</v>
      </c>
      <c r="P4" s="97" t="s">
        <v>103</v>
      </c>
      <c r="Q4" s="97" t="s">
        <v>155</v>
      </c>
      <c r="R4" s="99" t="s">
        <v>104</v>
      </c>
    </row>
    <row r="5" spans="3:18" x14ac:dyDescent="0.45">
      <c r="C5" s="90">
        <v>1</v>
      </c>
      <c r="D5" s="84">
        <f>'3 Statement Model'!C3</f>
        <v>42460</v>
      </c>
      <c r="E5" s="85">
        <v>14271.49</v>
      </c>
      <c r="F5" s="91" t="s">
        <v>88</v>
      </c>
      <c r="H5" s="90">
        <v>1</v>
      </c>
      <c r="I5" s="84">
        <f>'Data Sheet (Input)'!B16</f>
        <v>42460</v>
      </c>
      <c r="J5" s="85">
        <v>2725.0400000000013</v>
      </c>
      <c r="K5" s="83" t="s">
        <v>88</v>
      </c>
      <c r="L5" s="92">
        <v>0.18315186431129485</v>
      </c>
      <c r="N5" s="90">
        <v>1</v>
      </c>
      <c r="O5" s="84">
        <f>'Data Sheet (Input)'!B16</f>
        <v>42460</v>
      </c>
      <c r="P5" s="85">
        <v>1769.3600000000013</v>
      </c>
      <c r="Q5" s="83" t="s">
        <v>88</v>
      </c>
      <c r="R5" s="92">
        <v>0.12397864553736164</v>
      </c>
    </row>
    <row r="6" spans="3:18" x14ac:dyDescent="0.45">
      <c r="C6" s="90">
        <v>2</v>
      </c>
      <c r="D6" s="84">
        <f>D5+365</f>
        <v>42825</v>
      </c>
      <c r="E6" s="85">
        <v>15061.99</v>
      </c>
      <c r="F6" s="92">
        <f>E6/E5-1</f>
        <v>5.5390151974320734E-2</v>
      </c>
      <c r="H6" s="90">
        <v>2</v>
      </c>
      <c r="I6" s="84">
        <f>I5+365</f>
        <v>42825</v>
      </c>
      <c r="J6" s="85">
        <v>2993.76</v>
      </c>
      <c r="K6" s="86">
        <f>J6/J5-1</f>
        <v>9.861139652995865E-2</v>
      </c>
      <c r="L6" s="92">
        <v>0.19649063636345532</v>
      </c>
      <c r="N6" s="90">
        <v>2</v>
      </c>
      <c r="O6" s="84">
        <f>O5+365</f>
        <v>42825</v>
      </c>
      <c r="P6" s="85">
        <v>2016.2500000000005</v>
      </c>
      <c r="Q6" s="86">
        <f>P6/P5-1</f>
        <v>0.13953632952027806</v>
      </c>
      <c r="R6" s="92">
        <v>0.1338634536339488</v>
      </c>
    </row>
    <row r="7" spans="3:18" x14ac:dyDescent="0.45">
      <c r="C7" s="90">
        <v>3</v>
      </c>
      <c r="D7" s="84">
        <f t="shared" ref="D7:D19" si="0">D6+365</f>
        <v>43190</v>
      </c>
      <c r="E7" s="85">
        <v>16824.55</v>
      </c>
      <c r="F7" s="92">
        <f t="shared" ref="F7:F19" si="1">E7/E6-1</f>
        <v>0.11702039371955486</v>
      </c>
      <c r="H7" s="90">
        <v>3</v>
      </c>
      <c r="I7" s="84">
        <f t="shared" ref="I7:I19" si="2">I6+365</f>
        <v>43190</v>
      </c>
      <c r="J7" s="85">
        <v>3204.0100000000011</v>
      </c>
      <c r="K7" s="86">
        <f t="shared" ref="K7:K13" si="3">J7/J6-1</f>
        <v>7.0229410507188561E-2</v>
      </c>
      <c r="L7" s="92">
        <v>0.18654169056527523</v>
      </c>
      <c r="N7" s="90">
        <v>3</v>
      </c>
      <c r="O7" s="84">
        <f t="shared" ref="O7:O19" si="4">O6+365</f>
        <v>43190</v>
      </c>
      <c r="P7" s="85">
        <v>2097.5200000000009</v>
      </c>
      <c r="Q7" s="86">
        <f t="shared" ref="Q7:Q19" si="5">P7/P6-1</f>
        <v>4.0307501549907254E-2</v>
      </c>
      <c r="R7" s="92">
        <v>0.12467019920295051</v>
      </c>
    </row>
    <row r="8" spans="3:18" x14ac:dyDescent="0.45">
      <c r="C8" s="90">
        <v>4</v>
      </c>
      <c r="D8" s="84">
        <f t="shared" si="0"/>
        <v>43555</v>
      </c>
      <c r="E8" s="85">
        <v>19240.13</v>
      </c>
      <c r="F8" s="92">
        <f t="shared" si="1"/>
        <v>0.14357471670861943</v>
      </c>
      <c r="H8" s="90">
        <v>4</v>
      </c>
      <c r="I8" s="84">
        <f t="shared" si="2"/>
        <v>43555</v>
      </c>
      <c r="J8" s="85">
        <v>3764.9400000000014</v>
      </c>
      <c r="K8" s="86">
        <f t="shared" si="3"/>
        <v>0.17507123885381137</v>
      </c>
      <c r="L8" s="92">
        <v>0.17183355829716335</v>
      </c>
      <c r="N8" s="90">
        <v>4</v>
      </c>
      <c r="O8" s="84">
        <f t="shared" si="4"/>
        <v>43555</v>
      </c>
      <c r="P8" s="85">
        <v>2208.0400000000018</v>
      </c>
      <c r="Q8" s="86">
        <f t="shared" si="5"/>
        <v>5.2690796750448632E-2</v>
      </c>
      <c r="R8" s="92">
        <v>0.11476221834259964</v>
      </c>
    </row>
    <row r="9" spans="3:18" x14ac:dyDescent="0.45">
      <c r="C9" s="90">
        <v>5</v>
      </c>
      <c r="D9" s="84">
        <f t="shared" si="0"/>
        <v>43920</v>
      </c>
      <c r="E9" s="85">
        <v>20211.25</v>
      </c>
      <c r="F9" s="92">
        <f t="shared" si="1"/>
        <v>5.0473671435691925E-2</v>
      </c>
      <c r="H9" s="90">
        <v>5</v>
      </c>
      <c r="I9" s="84">
        <f t="shared" si="2"/>
        <v>43920</v>
      </c>
      <c r="J9" s="85">
        <v>4161.7699999999977</v>
      </c>
      <c r="K9" s="86">
        <f t="shared" si="3"/>
        <v>0.10540141409955961</v>
      </c>
      <c r="L9" s="92">
        <v>0.17955544560578873</v>
      </c>
      <c r="N9" s="90">
        <v>5</v>
      </c>
      <c r="O9" s="84">
        <f t="shared" si="4"/>
        <v>43920</v>
      </c>
      <c r="P9" s="85">
        <v>2774.1899999999978</v>
      </c>
      <c r="Q9" s="86">
        <f t="shared" si="5"/>
        <v>0.25640386949511584</v>
      </c>
      <c r="R9" s="92">
        <v>0.13725969447708566</v>
      </c>
    </row>
    <row r="10" spans="3:18" x14ac:dyDescent="0.45">
      <c r="C10" s="90">
        <v>6</v>
      </c>
      <c r="D10" s="84">
        <f t="shared" si="0"/>
        <v>44285</v>
      </c>
      <c r="E10" s="85">
        <v>21712.79</v>
      </c>
      <c r="F10" s="92">
        <f t="shared" si="1"/>
        <v>7.4292287711052118E-2</v>
      </c>
      <c r="H10" s="90">
        <v>6</v>
      </c>
      <c r="I10" s="84">
        <f t="shared" si="2"/>
        <v>44285</v>
      </c>
      <c r="J10" s="85">
        <v>4855.6000000000031</v>
      </c>
      <c r="K10" s="86">
        <f t="shared" si="3"/>
        <v>0.16671512361327179</v>
      </c>
      <c r="L10" s="92">
        <v>0.19824029984170632</v>
      </c>
      <c r="N10" s="90">
        <v>6</v>
      </c>
      <c r="O10" s="84">
        <f t="shared" si="4"/>
        <v>44285</v>
      </c>
      <c r="P10" s="85">
        <v>3206.7500000000032</v>
      </c>
      <c r="Q10" s="86">
        <f t="shared" si="5"/>
        <v>0.1559229901340593</v>
      </c>
      <c r="R10" s="92">
        <v>0.14768944939825804</v>
      </c>
    </row>
    <row r="11" spans="3:18" x14ac:dyDescent="0.45">
      <c r="C11" s="90">
        <v>7</v>
      </c>
      <c r="D11" s="84">
        <f t="shared" si="0"/>
        <v>44650</v>
      </c>
      <c r="E11" s="85">
        <v>29101.279999999999</v>
      </c>
      <c r="F11" s="92">
        <f t="shared" si="1"/>
        <v>0.34028284711453471</v>
      </c>
      <c r="H11" s="90">
        <v>7</v>
      </c>
      <c r="I11" s="84">
        <f t="shared" si="2"/>
        <v>44650</v>
      </c>
      <c r="J11" s="85">
        <v>4803.6099999999988</v>
      </c>
      <c r="K11" s="86">
        <f t="shared" si="3"/>
        <v>-1.0707224647830249E-2</v>
      </c>
      <c r="L11" s="92">
        <v>0.14390157408883728</v>
      </c>
      <c r="N11" s="90">
        <v>7</v>
      </c>
      <c r="O11" s="84">
        <f t="shared" si="4"/>
        <v>44650</v>
      </c>
      <c r="P11" s="85">
        <v>3084.8099999999986</v>
      </c>
      <c r="Q11" s="86">
        <f t="shared" si="5"/>
        <v>-3.802603882435629E-2</v>
      </c>
      <c r="R11" s="92">
        <v>0.10600255383955616</v>
      </c>
    </row>
    <row r="12" spans="3:18" x14ac:dyDescent="0.45">
      <c r="C12" s="90">
        <v>8</v>
      </c>
      <c r="D12" s="84">
        <f t="shared" si="0"/>
        <v>45015</v>
      </c>
      <c r="E12" s="85">
        <v>34488.589999999997</v>
      </c>
      <c r="F12" s="92">
        <f t="shared" si="1"/>
        <v>0.18512278497715551</v>
      </c>
      <c r="H12" s="90">
        <v>8</v>
      </c>
      <c r="I12" s="84">
        <f t="shared" si="2"/>
        <v>45015</v>
      </c>
      <c r="J12" s="85">
        <v>6259.8399999999956</v>
      </c>
      <c r="K12" s="86">
        <f t="shared" si="3"/>
        <v>0.3031532534906034</v>
      </c>
      <c r="L12" s="92">
        <v>0.16494817561402181</v>
      </c>
      <c r="N12" s="90">
        <v>8</v>
      </c>
      <c r="O12" s="84">
        <f t="shared" si="4"/>
        <v>45015</v>
      </c>
      <c r="P12" s="85">
        <v>4195.3299999999963</v>
      </c>
      <c r="Q12" s="86">
        <f t="shared" si="5"/>
        <v>0.3599962396387455</v>
      </c>
      <c r="R12" s="92">
        <v>0.12164399878336565</v>
      </c>
    </row>
    <row r="13" spans="3:18" x14ac:dyDescent="0.45">
      <c r="C13" s="90">
        <v>9</v>
      </c>
      <c r="D13" s="84">
        <f t="shared" si="0"/>
        <v>45380</v>
      </c>
      <c r="E13" s="85">
        <v>35494.730000000003</v>
      </c>
      <c r="F13" s="92">
        <f t="shared" si="1"/>
        <v>2.9173126532572313E-2</v>
      </c>
      <c r="H13" s="90">
        <v>9</v>
      </c>
      <c r="I13" s="84">
        <f t="shared" si="2"/>
        <v>45380</v>
      </c>
      <c r="J13" s="85">
        <v>7584.9800000000014</v>
      </c>
      <c r="K13" s="86">
        <f t="shared" si="3"/>
        <v>0.21168911665473988</v>
      </c>
      <c r="L13" s="92">
        <v>0.20701016742485437</v>
      </c>
      <c r="N13" s="90">
        <v>9</v>
      </c>
      <c r="O13" s="84">
        <f t="shared" si="4"/>
        <v>45380</v>
      </c>
      <c r="P13" s="85">
        <v>5557.6900000000014</v>
      </c>
      <c r="Q13" s="86">
        <f t="shared" si="5"/>
        <v>0.32473250018473077</v>
      </c>
      <c r="R13" s="92">
        <v>0.15657789198565536</v>
      </c>
    </row>
    <row r="14" spans="3:18" x14ac:dyDescent="0.45">
      <c r="C14" s="90">
        <v>10</v>
      </c>
      <c r="D14" s="84">
        <f t="shared" si="0"/>
        <v>45745</v>
      </c>
      <c r="E14" s="85">
        <v>33905.620000000003</v>
      </c>
      <c r="F14" s="92">
        <f t="shared" si="1"/>
        <v>-4.4770308155605121E-2</v>
      </c>
      <c r="H14" s="90">
        <v>10</v>
      </c>
      <c r="I14" s="84">
        <f t="shared" si="2"/>
        <v>45745</v>
      </c>
      <c r="J14" s="85">
        <v>6006.2100000000019</v>
      </c>
      <c r="K14" s="86">
        <f>J14/J13-1</f>
        <v>-0.20814425351154509</v>
      </c>
      <c r="L14" s="92">
        <v>0.15050808685993652</v>
      </c>
      <c r="N14" s="90">
        <v>10</v>
      </c>
      <c r="O14" s="84">
        <f t="shared" si="4"/>
        <v>45745</v>
      </c>
      <c r="P14" s="85">
        <v>3709.7100000000019</v>
      </c>
      <c r="Q14" s="86">
        <f t="shared" si="5"/>
        <v>-0.33250865017660203</v>
      </c>
      <c r="R14" s="92">
        <v>0.10941283480437761</v>
      </c>
    </row>
    <row r="15" spans="3:18" x14ac:dyDescent="0.45">
      <c r="C15" s="90">
        <v>11</v>
      </c>
      <c r="D15" s="87">
        <f>D14+365</f>
        <v>46110</v>
      </c>
      <c r="E15" s="85">
        <f>FORECAST(C15,$E$5:$E$14,$C$5:$C$14)</f>
        <v>38669.293333333335</v>
      </c>
      <c r="F15" s="92">
        <f t="shared" si="1"/>
        <v>0.14049804526014653</v>
      </c>
      <c r="H15" s="90">
        <v>11</v>
      </c>
      <c r="I15" s="87">
        <f>I14+365</f>
        <v>46110</v>
      </c>
      <c r="J15" s="85">
        <f>FORECAST(H15,$J$5:$J$14,$H$5:$H$14)</f>
        <v>7327.9113333333335</v>
      </c>
      <c r="K15" s="86">
        <f t="shared" ref="K15:K18" si="6">J15/J14-1</f>
        <v>0.2200557978048272</v>
      </c>
      <c r="L15" s="92">
        <f>J15/E15</f>
        <v>0.18950207520385684</v>
      </c>
      <c r="N15" s="90">
        <v>11</v>
      </c>
      <c r="O15" s="87">
        <f t="shared" si="4"/>
        <v>46110</v>
      </c>
      <c r="P15" s="85">
        <f>FORECAST(N15,$P$5:$P$14,$N$5:$N$14)</f>
        <v>4922.1366666666672</v>
      </c>
      <c r="Q15" s="86">
        <f t="shared" si="5"/>
        <v>0.3268251875932795</v>
      </c>
      <c r="R15" s="92">
        <f>P15/E15</f>
        <v>0.12728799112612008</v>
      </c>
    </row>
    <row r="16" spans="3:18" x14ac:dyDescent="0.45">
      <c r="C16" s="90">
        <v>12</v>
      </c>
      <c r="D16" s="87">
        <f t="shared" si="0"/>
        <v>46475</v>
      </c>
      <c r="E16" s="85">
        <f>FORECAST(C16,$E$5:$E$14,$C$5:$C$14)</f>
        <v>41330.757212121214</v>
      </c>
      <c r="F16" s="92">
        <f t="shared" si="1"/>
        <v>6.8826286941573667E-2</v>
      </c>
      <c r="H16" s="90">
        <v>12</v>
      </c>
      <c r="I16" s="87">
        <f t="shared" si="2"/>
        <v>46475</v>
      </c>
      <c r="J16" s="85">
        <f t="shared" ref="J16:J18" si="7">FORECAST(H16,$J$5:$J$14,$H$5:$H$14)</f>
        <v>7817.3541212121208</v>
      </c>
      <c r="K16" s="86">
        <f t="shared" si="6"/>
        <v>6.6791581613767859E-2</v>
      </c>
      <c r="L16" s="92">
        <f t="shared" ref="L16:L18" si="8">J16/E16</f>
        <v>0.1891413235206709</v>
      </c>
      <c r="N16" s="90">
        <v>12</v>
      </c>
      <c r="O16" s="87">
        <f t="shared" si="4"/>
        <v>46475</v>
      </c>
      <c r="P16" s="85">
        <f t="shared" ref="P16:P19" si="9">FORECAST(N16,$P$5:$P$14,$N$5:$N$14)</f>
        <v>5260.3496969696971</v>
      </c>
      <c r="Q16" s="86">
        <f t="shared" si="5"/>
        <v>6.8712645179775489E-2</v>
      </c>
      <c r="R16" s="92">
        <f t="shared" ref="R16:R19" si="10">P16/E16</f>
        <v>0.12727445737255877</v>
      </c>
    </row>
    <row r="17" spans="3:18" x14ac:dyDescent="0.45">
      <c r="C17" s="90">
        <v>13</v>
      </c>
      <c r="D17" s="87">
        <f t="shared" si="0"/>
        <v>46840</v>
      </c>
      <c r="E17" s="85">
        <f t="shared" ref="E17:E19" si="11">FORECAST(C17,$E$5:$E$14,$C$5:$C$14)</f>
        <v>43992.221090909094</v>
      </c>
      <c r="F17" s="92">
        <f t="shared" si="1"/>
        <v>6.4394268537798283E-2</v>
      </c>
      <c r="H17" s="90">
        <v>13</v>
      </c>
      <c r="I17" s="87">
        <f t="shared" si="2"/>
        <v>46840</v>
      </c>
      <c r="J17" s="85">
        <f t="shared" si="7"/>
        <v>8306.79690909091</v>
      </c>
      <c r="K17" s="86">
        <f t="shared" si="6"/>
        <v>6.2609775672142431E-2</v>
      </c>
      <c r="L17" s="92">
        <f>J17/E17</f>
        <v>0.18882422171695018</v>
      </c>
      <c r="N17" s="90">
        <v>13</v>
      </c>
      <c r="O17" s="87">
        <f t="shared" si="4"/>
        <v>46840</v>
      </c>
      <c r="P17" s="85">
        <f t="shared" si="9"/>
        <v>5598.562727272727</v>
      </c>
      <c r="Q17" s="86">
        <f t="shared" si="5"/>
        <v>6.4294780724913236E-2</v>
      </c>
      <c r="R17" s="92">
        <f>P17/E17</f>
        <v>0.12726256116287929</v>
      </c>
    </row>
    <row r="18" spans="3:18" x14ac:dyDescent="0.45">
      <c r="C18" s="90">
        <v>14</v>
      </c>
      <c r="D18" s="87">
        <f t="shared" si="0"/>
        <v>47205</v>
      </c>
      <c r="E18" s="85">
        <f t="shared" si="11"/>
        <v>46653.684969696973</v>
      </c>
      <c r="F18" s="92">
        <f t="shared" si="1"/>
        <v>6.0498511163780799E-2</v>
      </c>
      <c r="H18" s="90">
        <v>14</v>
      </c>
      <c r="I18" s="87">
        <f t="shared" si="2"/>
        <v>47205</v>
      </c>
      <c r="J18" s="85">
        <f t="shared" si="7"/>
        <v>8796.2396969696965</v>
      </c>
      <c r="K18" s="86">
        <f t="shared" si="6"/>
        <v>5.8920760099857805E-2</v>
      </c>
      <c r="L18" s="92">
        <f t="shared" si="8"/>
        <v>0.18854329947748241</v>
      </c>
      <c r="N18" s="90">
        <v>14</v>
      </c>
      <c r="O18" s="87">
        <f t="shared" si="4"/>
        <v>47205</v>
      </c>
      <c r="P18" s="85">
        <f t="shared" si="9"/>
        <v>5936.7757575757569</v>
      </c>
      <c r="Q18" s="86">
        <f t="shared" si="5"/>
        <v>6.0410688738998353E-2</v>
      </c>
      <c r="R18" s="92">
        <f t="shared" si="10"/>
        <v>0.12725202224501406</v>
      </c>
    </row>
    <row r="19" spans="3:18" ht="14.65" thickBot="1" x14ac:dyDescent="0.5">
      <c r="C19" s="93">
        <v>15</v>
      </c>
      <c r="D19" s="94">
        <f t="shared" si="0"/>
        <v>47570</v>
      </c>
      <c r="E19" s="95">
        <f t="shared" si="11"/>
        <v>49315.148848484852</v>
      </c>
      <c r="F19" s="96">
        <f t="shared" si="1"/>
        <v>5.7047238187435401E-2</v>
      </c>
      <c r="H19" s="93">
        <v>15</v>
      </c>
      <c r="I19" s="94">
        <f t="shared" si="2"/>
        <v>47570</v>
      </c>
      <c r="J19" s="95">
        <f>FORECAST(H19,$J$5:$J$14,$H$5:$H$14)</f>
        <v>9285.6824848484848</v>
      </c>
      <c r="K19" s="100">
        <f>J19/J18-1</f>
        <v>5.5642274965221894E-2</v>
      </c>
      <c r="L19" s="96">
        <f>J19/E19</f>
        <v>0.1882926991334383</v>
      </c>
      <c r="N19" s="93">
        <v>15</v>
      </c>
      <c r="O19" s="94">
        <f t="shared" si="4"/>
        <v>47570</v>
      </c>
      <c r="P19" s="95">
        <f t="shared" si="9"/>
        <v>6274.9887878787886</v>
      </c>
      <c r="Q19" s="100">
        <f t="shared" si="5"/>
        <v>5.6969143540826384E-2</v>
      </c>
      <c r="R19" s="96">
        <f t="shared" si="10"/>
        <v>0.12724262086601368</v>
      </c>
    </row>
    <row r="20" spans="3:18" x14ac:dyDescent="0.45">
      <c r="C20" s="73"/>
      <c r="D20" s="73"/>
      <c r="E20" s="73"/>
      <c r="F20" s="73"/>
    </row>
  </sheetData>
  <mergeCells count="3">
    <mergeCell ref="C3:F3"/>
    <mergeCell ref="H3:L3"/>
    <mergeCell ref="N3:R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71DB-A2B9-4B05-A160-5DA228812A6C}">
  <sheetPr>
    <tabColor theme="8" tint="0.59999389629810485"/>
  </sheetPr>
  <dimension ref="A3:K51"/>
  <sheetViews>
    <sheetView showGridLines="0" topLeftCell="A27" zoomScale="92" zoomScaleNormal="53" workbookViewId="0">
      <selection activeCell="B51" sqref="B51:H51"/>
    </sheetView>
  </sheetViews>
  <sheetFormatPr defaultRowHeight="14.25" x14ac:dyDescent="0.45"/>
  <cols>
    <col min="1" max="4" width="9.06640625" style="76"/>
    <col min="5" max="5" width="8.1328125" style="76" customWidth="1"/>
    <col min="6" max="6" width="43.86328125" style="76" customWidth="1"/>
    <col min="7" max="7" width="31.6640625" style="76" customWidth="1"/>
    <col min="8" max="9" width="9.06640625" style="76"/>
    <col min="10" max="10" width="54.265625" style="76" customWidth="1"/>
    <col min="11" max="16384" width="9.06640625" style="76"/>
  </cols>
  <sheetData>
    <row r="3" spans="1:11" ht="46.9" customHeight="1" x14ac:dyDescent="0.45">
      <c r="F3" s="74" t="s">
        <v>187</v>
      </c>
      <c r="G3" s="74"/>
      <c r="H3" s="74"/>
      <c r="I3" s="75"/>
    </row>
    <row r="4" spans="1:11" ht="16.5" customHeight="1" x14ac:dyDescent="0.45">
      <c r="F4" s="74"/>
      <c r="G4" s="74"/>
      <c r="H4" s="74"/>
      <c r="I4" s="75"/>
    </row>
    <row r="5" spans="1:11" ht="14.25" customHeight="1" x14ac:dyDescent="0.55000000000000004">
      <c r="D5" s="102" t="s">
        <v>191</v>
      </c>
      <c r="E5" s="102"/>
      <c r="F5" s="102"/>
      <c r="G5" s="102"/>
      <c r="H5" s="102"/>
      <c r="I5" s="102"/>
      <c r="J5" s="102"/>
      <c r="K5" s="77"/>
    </row>
    <row r="6" spans="1:11" ht="14.25" customHeight="1" x14ac:dyDescent="0.55000000000000004">
      <c r="D6" s="78"/>
      <c r="E6" s="78"/>
      <c r="F6" s="78"/>
      <c r="G6" s="78"/>
      <c r="H6" s="78"/>
      <c r="I6" s="78"/>
      <c r="J6" s="78"/>
      <c r="K6" s="77"/>
    </row>
    <row r="7" spans="1:11" ht="14.25" customHeight="1" thickBot="1" x14ac:dyDescent="0.6">
      <c r="B7" s="80" t="s">
        <v>188</v>
      </c>
      <c r="C7" s="80"/>
      <c r="D7" s="80"/>
      <c r="E7" s="78"/>
      <c r="F7" s="78"/>
      <c r="G7" s="78"/>
      <c r="H7" s="78"/>
      <c r="I7" s="78"/>
      <c r="J7" s="78"/>
      <c r="K7" s="77"/>
    </row>
    <row r="8" spans="1:11" ht="14.65" thickTop="1" x14ac:dyDescent="0.45"/>
    <row r="9" spans="1:11" x14ac:dyDescent="0.45">
      <c r="A9" s="79"/>
      <c r="B9" s="101" t="s">
        <v>193</v>
      </c>
      <c r="C9" s="101"/>
      <c r="D9" s="101"/>
      <c r="E9" s="101"/>
      <c r="F9" s="101"/>
      <c r="G9" s="101"/>
      <c r="H9" s="101"/>
      <c r="I9" s="101"/>
      <c r="J9" s="101"/>
    </row>
    <row r="11" spans="1:11" x14ac:dyDescent="0.45">
      <c r="A11" s="79"/>
      <c r="B11" s="101" t="s">
        <v>194</v>
      </c>
      <c r="C11" s="101"/>
      <c r="D11" s="101"/>
      <c r="E11" s="101"/>
      <c r="F11" s="101"/>
      <c r="G11" s="101"/>
      <c r="H11" s="101"/>
      <c r="I11" s="101"/>
      <c r="J11" s="101"/>
    </row>
    <row r="12" spans="1:11" x14ac:dyDescent="0.45">
      <c r="A12" s="79"/>
    </row>
    <row r="13" spans="1:11" x14ac:dyDescent="0.45">
      <c r="A13" s="79"/>
      <c r="B13" s="101" t="s">
        <v>195</v>
      </c>
      <c r="C13" s="101"/>
      <c r="D13" s="101"/>
      <c r="E13" s="101"/>
      <c r="F13" s="101"/>
      <c r="G13" s="101"/>
      <c r="H13" s="101"/>
      <c r="I13" s="101"/>
      <c r="J13" s="101"/>
    </row>
    <row r="14" spans="1:11" x14ac:dyDescent="0.45">
      <c r="A14" s="79"/>
    </row>
    <row r="15" spans="1:11" x14ac:dyDescent="0.45">
      <c r="A15" s="79"/>
      <c r="B15" s="101" t="s">
        <v>196</v>
      </c>
      <c r="C15" s="101"/>
      <c r="D15" s="101"/>
      <c r="E15" s="101"/>
      <c r="F15" s="101"/>
      <c r="G15" s="101"/>
      <c r="H15" s="101"/>
      <c r="I15" s="101"/>
      <c r="J15" s="101"/>
    </row>
    <row r="17" spans="1:11" x14ac:dyDescent="0.45">
      <c r="B17" s="101"/>
      <c r="C17" s="101"/>
      <c r="D17" s="101"/>
      <c r="E17" s="101"/>
      <c r="F17" s="101"/>
      <c r="G17" s="101"/>
      <c r="H17" s="101"/>
      <c r="I17" s="101"/>
      <c r="J17" s="101"/>
    </row>
    <row r="19" spans="1:11" ht="18.399999999999999" thickBot="1" x14ac:dyDescent="0.6">
      <c r="B19" s="103" t="s">
        <v>189</v>
      </c>
      <c r="C19" s="103"/>
      <c r="D19" s="103"/>
      <c r="E19" s="78"/>
    </row>
    <row r="20" spans="1:11" ht="14.65" thickTop="1" x14ac:dyDescent="0.45"/>
    <row r="21" spans="1:11" x14ac:dyDescent="0.45">
      <c r="A21" s="79"/>
      <c r="B21" s="101" t="s">
        <v>197</v>
      </c>
      <c r="C21" s="101"/>
      <c r="D21" s="101"/>
      <c r="E21" s="101"/>
      <c r="F21" s="101"/>
      <c r="G21" s="101"/>
      <c r="H21" s="101"/>
      <c r="I21" s="101"/>
      <c r="J21" s="101"/>
      <c r="K21" s="101"/>
    </row>
    <row r="23" spans="1:11" x14ac:dyDescent="0.45">
      <c r="A23" s="79"/>
      <c r="B23" s="101" t="s">
        <v>198</v>
      </c>
      <c r="C23" s="101"/>
      <c r="D23" s="101"/>
      <c r="E23" s="101"/>
      <c r="F23" s="101"/>
      <c r="G23" s="101"/>
    </row>
    <row r="25" spans="1:11" x14ac:dyDescent="0.45">
      <c r="A25" s="79"/>
      <c r="B25" s="101" t="s">
        <v>199</v>
      </c>
      <c r="C25" s="101"/>
      <c r="D25" s="101"/>
      <c r="E25" s="101"/>
      <c r="F25" s="101"/>
      <c r="G25" s="101"/>
      <c r="H25" s="101"/>
      <c r="I25" s="101"/>
      <c r="J25" s="101"/>
    </row>
    <row r="27" spans="1:11" x14ac:dyDescent="0.45">
      <c r="A27" s="79"/>
      <c r="B27" s="101"/>
      <c r="C27" s="101"/>
      <c r="D27" s="101"/>
      <c r="E27" s="101"/>
      <c r="F27" s="101"/>
      <c r="G27" s="101"/>
      <c r="H27" s="101"/>
      <c r="I27" s="101"/>
      <c r="J27" s="101"/>
    </row>
    <row r="28" spans="1:11" ht="18.399999999999999" thickBot="1" x14ac:dyDescent="0.6">
      <c r="B28" s="103" t="s">
        <v>190</v>
      </c>
      <c r="C28" s="103"/>
      <c r="D28" s="103"/>
    </row>
    <row r="29" spans="1:11" ht="14.65" thickTop="1" x14ac:dyDescent="0.45"/>
    <row r="30" spans="1:11" x14ac:dyDescent="0.45">
      <c r="A30" s="79"/>
      <c r="B30" s="101" t="s">
        <v>200</v>
      </c>
      <c r="C30" s="101"/>
      <c r="D30" s="101"/>
      <c r="E30" s="101"/>
      <c r="F30" s="101"/>
      <c r="G30" s="101"/>
      <c r="H30" s="101"/>
      <c r="I30" s="101"/>
      <c r="J30" s="101"/>
    </row>
    <row r="32" spans="1:11" x14ac:dyDescent="0.45">
      <c r="A32" s="79"/>
      <c r="B32" s="101" t="s">
        <v>201</v>
      </c>
      <c r="C32" s="101"/>
      <c r="D32" s="101"/>
      <c r="E32" s="101"/>
      <c r="F32" s="101"/>
      <c r="G32" s="101"/>
      <c r="H32" s="101"/>
      <c r="I32" s="101"/>
    </row>
    <row r="34" spans="1:11" x14ac:dyDescent="0.45">
      <c r="A34" s="79"/>
      <c r="B34" s="101" t="s">
        <v>202</v>
      </c>
      <c r="C34" s="101"/>
      <c r="D34" s="101"/>
      <c r="E34" s="101"/>
      <c r="F34" s="101"/>
      <c r="G34" s="101"/>
      <c r="H34" s="101"/>
      <c r="I34" s="101"/>
      <c r="J34" s="101"/>
      <c r="K34" s="101"/>
    </row>
    <row r="36" spans="1:11" x14ac:dyDescent="0.45">
      <c r="A36" s="79"/>
      <c r="B36" s="101" t="s">
        <v>203</v>
      </c>
      <c r="C36" s="101"/>
      <c r="D36" s="101"/>
      <c r="E36" s="101"/>
      <c r="F36" s="101"/>
      <c r="G36" s="101"/>
      <c r="H36" s="101"/>
      <c r="I36" s="101"/>
      <c r="J36" s="101"/>
    </row>
    <row r="38" spans="1:11" x14ac:dyDescent="0.45">
      <c r="A38" s="79"/>
      <c r="B38" s="101" t="s">
        <v>204</v>
      </c>
      <c r="C38" s="101"/>
      <c r="D38" s="101"/>
      <c r="E38" s="101"/>
      <c r="F38" s="101"/>
      <c r="G38" s="101"/>
      <c r="H38" s="101"/>
    </row>
    <row r="40" spans="1:11" x14ac:dyDescent="0.45">
      <c r="A40" s="79"/>
      <c r="B40" s="101" t="s">
        <v>205</v>
      </c>
      <c r="C40" s="101"/>
      <c r="D40" s="101"/>
      <c r="E40" s="101"/>
      <c r="F40" s="101"/>
      <c r="G40" s="101"/>
      <c r="H40" s="101"/>
      <c r="I40" s="101"/>
      <c r="J40" s="101"/>
    </row>
    <row r="43" spans="1:11" ht="18" x14ac:dyDescent="0.55000000000000004">
      <c r="B43" s="81" t="s">
        <v>192</v>
      </c>
      <c r="C43" s="81"/>
    </row>
    <row r="45" spans="1:11" x14ac:dyDescent="0.45">
      <c r="A45" s="79"/>
      <c r="B45" s="101" t="s">
        <v>209</v>
      </c>
      <c r="C45" s="101"/>
      <c r="D45" s="101"/>
      <c r="E45" s="101"/>
      <c r="F45" s="101"/>
      <c r="G45" s="101"/>
    </row>
    <row r="47" spans="1:11" x14ac:dyDescent="0.45">
      <c r="A47" s="79"/>
      <c r="B47" s="101" t="s">
        <v>206</v>
      </c>
      <c r="C47" s="101"/>
      <c r="D47" s="101"/>
      <c r="E47" s="101"/>
      <c r="F47" s="101"/>
      <c r="G47" s="101"/>
    </row>
    <row r="49" spans="1:8" x14ac:dyDescent="0.45">
      <c r="A49" s="79"/>
      <c r="B49" s="101" t="s">
        <v>207</v>
      </c>
      <c r="C49" s="101"/>
      <c r="D49" s="101"/>
      <c r="E49" s="101"/>
      <c r="F49" s="101"/>
      <c r="G49" s="101"/>
    </row>
    <row r="51" spans="1:8" x14ac:dyDescent="0.45">
      <c r="A51" s="79"/>
      <c r="B51" s="101" t="s">
        <v>208</v>
      </c>
      <c r="C51" s="101"/>
      <c r="D51" s="101"/>
      <c r="E51" s="101"/>
      <c r="F51" s="101"/>
      <c r="G51" s="101"/>
      <c r="H51" s="101"/>
    </row>
  </sheetData>
  <mergeCells count="22">
    <mergeCell ref="D5:J5"/>
    <mergeCell ref="B30:J30"/>
    <mergeCell ref="B9:J9"/>
    <mergeCell ref="B11:J11"/>
    <mergeCell ref="B49:G49"/>
    <mergeCell ref="B32:I32"/>
    <mergeCell ref="B13:J13"/>
    <mergeCell ref="B15:J15"/>
    <mergeCell ref="B17:J17"/>
    <mergeCell ref="B19:D19"/>
    <mergeCell ref="B21:K21"/>
    <mergeCell ref="B23:G23"/>
    <mergeCell ref="B25:J25"/>
    <mergeCell ref="B27:J27"/>
    <mergeCell ref="B28:D28"/>
    <mergeCell ref="B51:H51"/>
    <mergeCell ref="B34:K34"/>
    <mergeCell ref="B36:J36"/>
    <mergeCell ref="B38:H38"/>
    <mergeCell ref="B40:J40"/>
    <mergeCell ref="B45:G45"/>
    <mergeCell ref="B47:G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Profit &amp; Loss (Input)</vt:lpstr>
      <vt:lpstr>Quarters (Input)</vt:lpstr>
      <vt:lpstr>Balance Sheet (Input)</vt:lpstr>
      <vt:lpstr>Cash Flow (Input)</vt:lpstr>
      <vt:lpstr>Data Sheet (Input)</vt:lpstr>
      <vt:lpstr>Cash Flow data (input)</vt:lpstr>
      <vt:lpstr>3 Statement Model</vt:lpstr>
      <vt:lpstr>Ratio Analysis</vt:lpstr>
      <vt:lpstr>Forecasting</vt:lpstr>
      <vt:lpstr>Insight Summary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DHRUV JAIN</cp:lastModifiedBy>
  <cp:lastPrinted>2012-12-06T18:14:13Z</cp:lastPrinted>
  <dcterms:created xsi:type="dcterms:W3CDTF">2012-08-17T09:55:37Z</dcterms:created>
  <dcterms:modified xsi:type="dcterms:W3CDTF">2026-05-18T10:24:22Z</dcterms:modified>
</cp:coreProperties>
</file>