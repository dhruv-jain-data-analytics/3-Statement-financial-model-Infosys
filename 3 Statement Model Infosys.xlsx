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dhru\OneDrive\Desktop\Dhruv Jain Portfolio\Financial Modelling Projects\3 Statement Financial Model Infosys\"/>
    </mc:Choice>
  </mc:AlternateContent>
  <xr:revisionPtr revIDLastSave="0" documentId="13_ncr:1_{FE33BA9D-AD08-4091-BE37-023A9A44E3DA}" xr6:coauthVersionLast="47" xr6:coauthVersionMax="47" xr10:uidLastSave="{00000000-0000-0000-0000-000000000000}"/>
  <bookViews>
    <workbookView xWindow="-98" yWindow="-98" windowWidth="21795" windowHeight="12975" firstSheet="5" activeTab="9" xr2:uid="{00000000-000D-0000-FFFF-FFFF00000000}"/>
  </bookViews>
  <sheets>
    <sheet name="Profit &amp; Loss (Input)" sheetId="1" r:id="rId1"/>
    <sheet name="Quarters (Input)" sheetId="3" r:id="rId2"/>
    <sheet name="Cash Flow (Input)" sheetId="4" r:id="rId3"/>
    <sheet name="Data (Input)" sheetId="6" r:id="rId4"/>
    <sheet name="Balance Sheet (Input)" sheetId="2" r:id="rId5"/>
    <sheet name="Cash flow data (Input)" sheetId="8" r:id="rId6"/>
    <sheet name="3 Statement Model" sheetId="7" r:id="rId7"/>
    <sheet name="Ratio Analysis" sheetId="9" r:id="rId8"/>
    <sheet name="Forecasting" sheetId="10" r:id="rId9"/>
    <sheet name="Insight Summary" sheetId="11" r:id="rId10"/>
  </sheets>
  <definedNames>
    <definedName name="UPDATE">'Data (Input)'!$E$1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3" i="10" l="1"/>
  <c r="N13" i="10"/>
  <c r="O13" i="10"/>
  <c r="N14" i="10"/>
  <c r="O14" i="10"/>
  <c r="N15" i="10"/>
  <c r="O15" i="10"/>
  <c r="N16" i="10"/>
  <c r="O16" i="10"/>
  <c r="I15" i="10"/>
  <c r="O12" i="10"/>
  <c r="I13" i="10"/>
  <c r="D36" i="9"/>
  <c r="E36" i="9"/>
  <c r="F36" i="9"/>
  <c r="G36" i="9"/>
  <c r="H36" i="9"/>
  <c r="I36" i="9"/>
  <c r="J36" i="9"/>
  <c r="K36" i="9"/>
  <c r="C36" i="9"/>
  <c r="D31" i="9"/>
  <c r="E31" i="9"/>
  <c r="F31" i="9"/>
  <c r="G31" i="9"/>
  <c r="H31" i="9"/>
  <c r="I31" i="9"/>
  <c r="J31" i="9"/>
  <c r="K31" i="9"/>
  <c r="C31" i="9"/>
  <c r="C24" i="9"/>
  <c r="C23" i="9"/>
  <c r="D20" i="9"/>
  <c r="E20" i="9"/>
  <c r="F20" i="9"/>
  <c r="G20" i="9"/>
  <c r="H20" i="9"/>
  <c r="I20" i="9"/>
  <c r="J20" i="9"/>
  <c r="K20" i="9"/>
  <c r="C20" i="9"/>
  <c r="C22" i="9"/>
  <c r="C21" i="9"/>
  <c r="D57" i="7"/>
  <c r="E57" i="7"/>
  <c r="F57" i="7"/>
  <c r="G57" i="7"/>
  <c r="H57" i="7"/>
  <c r="I57" i="7"/>
  <c r="J57" i="7"/>
  <c r="K57" i="7"/>
  <c r="C57" i="7"/>
  <c r="D56" i="7"/>
  <c r="E56" i="7"/>
  <c r="F56" i="7"/>
  <c r="G56" i="7"/>
  <c r="H56" i="7"/>
  <c r="I56" i="7"/>
  <c r="J56" i="7"/>
  <c r="K56" i="7"/>
  <c r="C56" i="7"/>
  <c r="D55" i="7"/>
  <c r="E55" i="7"/>
  <c r="F55" i="7"/>
  <c r="G55" i="7"/>
  <c r="H55" i="7"/>
  <c r="I55" i="7"/>
  <c r="J55" i="7"/>
  <c r="K55" i="7"/>
  <c r="D54" i="7"/>
  <c r="E54" i="7"/>
  <c r="F54" i="7"/>
  <c r="G54" i="7"/>
  <c r="H54" i="7"/>
  <c r="I54" i="7"/>
  <c r="J54" i="7"/>
  <c r="K54" i="7"/>
  <c r="D53" i="7"/>
  <c r="E53" i="7"/>
  <c r="F53" i="7"/>
  <c r="G53" i="7"/>
  <c r="H53" i="7"/>
  <c r="I53" i="7"/>
  <c r="J53" i="7"/>
  <c r="K53" i="7"/>
  <c r="C55" i="7"/>
  <c r="C54" i="7"/>
  <c r="C53" i="7"/>
  <c r="J51" i="7"/>
  <c r="K51" i="7"/>
  <c r="C48" i="7"/>
  <c r="D50" i="7"/>
  <c r="E50" i="7"/>
  <c r="F50" i="7"/>
  <c r="G50" i="7"/>
  <c r="H50" i="7"/>
  <c r="I50" i="7"/>
  <c r="J50" i="7"/>
  <c r="K50" i="7"/>
  <c r="D49" i="7"/>
  <c r="E49" i="7"/>
  <c r="F49" i="7"/>
  <c r="G49" i="7"/>
  <c r="H49" i="7"/>
  <c r="H51" i="7" s="1"/>
  <c r="I49" i="7"/>
  <c r="I51" i="7" s="1"/>
  <c r="J49" i="7"/>
  <c r="K49" i="7"/>
  <c r="D48" i="7"/>
  <c r="E48" i="7"/>
  <c r="F48" i="7"/>
  <c r="G48" i="7"/>
  <c r="H48" i="7"/>
  <c r="I48" i="7"/>
  <c r="J48" i="7"/>
  <c r="K48" i="7"/>
  <c r="C50" i="7"/>
  <c r="C49" i="7"/>
  <c r="D47" i="7"/>
  <c r="D51" i="7" s="1"/>
  <c r="E47" i="7"/>
  <c r="E51" i="7" s="1"/>
  <c r="F47" i="7"/>
  <c r="F51" i="7" s="1"/>
  <c r="G47" i="7"/>
  <c r="G51" i="7" s="1"/>
  <c r="H47" i="7"/>
  <c r="I47" i="7"/>
  <c r="J47" i="7"/>
  <c r="K47" i="7"/>
  <c r="C47" i="7"/>
  <c r="C51" i="7" s="1"/>
  <c r="L62" i="6"/>
  <c r="C16" i="7"/>
  <c r="L7" i="7"/>
  <c r="K7" i="7"/>
  <c r="C10" i="7" l="1"/>
  <c r="K29" i="9"/>
  <c r="K28" i="9"/>
  <c r="K27" i="9"/>
  <c r="K32" i="9" s="1"/>
  <c r="K26" i="9"/>
  <c r="C7" i="7"/>
  <c r="C26" i="9" s="1"/>
  <c r="C28" i="9" l="1"/>
  <c r="C29" i="9"/>
  <c r="C17" i="7"/>
  <c r="C16" i="9" s="1"/>
  <c r="C27" i="9"/>
  <c r="C32" i="9" s="1"/>
  <c r="K33" i="9"/>
  <c r="C5" i="9"/>
  <c r="L30" i="7"/>
  <c r="D30" i="7"/>
  <c r="E30" i="7"/>
  <c r="F30" i="7"/>
  <c r="G30" i="7"/>
  <c r="H30" i="7"/>
  <c r="I30" i="7"/>
  <c r="J30" i="7"/>
  <c r="K30" i="7"/>
  <c r="C30" i="7"/>
  <c r="L26" i="7"/>
  <c r="D26" i="7"/>
  <c r="D24" i="9" s="1"/>
  <c r="E26" i="7"/>
  <c r="E24" i="9" s="1"/>
  <c r="F26" i="7"/>
  <c r="G26" i="7"/>
  <c r="H26" i="7"/>
  <c r="I26" i="7"/>
  <c r="J26" i="7"/>
  <c r="K26" i="7"/>
  <c r="C26" i="7"/>
  <c r="L25" i="7"/>
  <c r="C25" i="7"/>
  <c r="E25" i="7"/>
  <c r="F25" i="7"/>
  <c r="G25" i="7"/>
  <c r="H25" i="7"/>
  <c r="I25" i="7"/>
  <c r="J25" i="7"/>
  <c r="K25" i="7"/>
  <c r="D25" i="7"/>
  <c r="L22" i="7"/>
  <c r="D22" i="7"/>
  <c r="E22" i="7"/>
  <c r="F22" i="7"/>
  <c r="G22" i="7"/>
  <c r="H22" i="7"/>
  <c r="I22" i="7"/>
  <c r="I17" i="9" s="1"/>
  <c r="J22" i="7"/>
  <c r="J17" i="9" s="1"/>
  <c r="K22" i="7"/>
  <c r="K17" i="9" s="1"/>
  <c r="C22" i="7"/>
  <c r="C17" i="9" s="1"/>
  <c r="D16" i="7"/>
  <c r="E16" i="7"/>
  <c r="F16" i="7"/>
  <c r="G16" i="7"/>
  <c r="H16" i="7"/>
  <c r="I16" i="7"/>
  <c r="J16" i="7"/>
  <c r="K16" i="7"/>
  <c r="K13" i="7"/>
  <c r="K19" i="7" s="1"/>
  <c r="C13" i="7"/>
  <c r="L10" i="7"/>
  <c r="L13" i="7" s="1"/>
  <c r="D10" i="7"/>
  <c r="E10" i="7"/>
  <c r="F10" i="7"/>
  <c r="G10" i="7"/>
  <c r="H10" i="7"/>
  <c r="I10" i="7"/>
  <c r="J10" i="7"/>
  <c r="K10" i="7"/>
  <c r="D7" i="7"/>
  <c r="E7" i="7"/>
  <c r="F7" i="7"/>
  <c r="G7" i="7"/>
  <c r="H7" i="7"/>
  <c r="I7" i="7"/>
  <c r="J7" i="7"/>
  <c r="J13" i="7" s="1"/>
  <c r="J19" i="7" s="1"/>
  <c r="K8" i="7"/>
  <c r="K5" i="9" s="1"/>
  <c r="I13" i="7" l="1"/>
  <c r="I19" i="7" s="1"/>
  <c r="K6" i="9"/>
  <c r="L19" i="7"/>
  <c r="L24" i="7" s="1"/>
  <c r="L28" i="7" s="1"/>
  <c r="L33" i="7" s="1"/>
  <c r="H8" i="7"/>
  <c r="H5" i="9" s="1"/>
  <c r="H28" i="9"/>
  <c r="H26" i="9"/>
  <c r="H29" i="9"/>
  <c r="H27" i="9"/>
  <c r="H32" i="9" s="1"/>
  <c r="G8" i="7"/>
  <c r="G5" i="9" s="1"/>
  <c r="G29" i="9"/>
  <c r="G27" i="9"/>
  <c r="G32" i="9" s="1"/>
  <c r="G28" i="9"/>
  <c r="G26" i="9"/>
  <c r="G33" i="9" s="1"/>
  <c r="F8" i="7"/>
  <c r="F5" i="9" s="1"/>
  <c r="F29" i="9"/>
  <c r="F27" i="9"/>
  <c r="F32" i="9" s="1"/>
  <c r="F28" i="9"/>
  <c r="F26" i="9"/>
  <c r="E8" i="7"/>
  <c r="E5" i="9" s="1"/>
  <c r="E29" i="9"/>
  <c r="E27" i="9"/>
  <c r="E32" i="9" s="1"/>
  <c r="E28" i="9"/>
  <c r="E26" i="9"/>
  <c r="E33" i="9" s="1"/>
  <c r="H13" i="7"/>
  <c r="H19" i="7" s="1"/>
  <c r="I6" i="9" s="1"/>
  <c r="D8" i="7"/>
  <c r="D5" i="9" s="1"/>
  <c r="D29" i="9"/>
  <c r="D27" i="9"/>
  <c r="D28" i="9"/>
  <c r="D26" i="9"/>
  <c r="G13" i="7"/>
  <c r="G19" i="7" s="1"/>
  <c r="G24" i="7" s="1"/>
  <c r="G28" i="7" s="1"/>
  <c r="F13" i="7"/>
  <c r="F19" i="7" s="1"/>
  <c r="F24" i="7" s="1"/>
  <c r="F24" i="9" s="1"/>
  <c r="H17" i="9"/>
  <c r="E13" i="7"/>
  <c r="E19" i="7" s="1"/>
  <c r="G17" i="9"/>
  <c r="D13" i="7"/>
  <c r="D19" i="7" s="1"/>
  <c r="D24" i="7" s="1"/>
  <c r="F17" i="9"/>
  <c r="E17" i="9"/>
  <c r="D17" i="9"/>
  <c r="D4" i="10" a="1"/>
  <c r="J8" i="7"/>
  <c r="J5" i="9" s="1"/>
  <c r="J28" i="9"/>
  <c r="J26" i="9"/>
  <c r="J29" i="9"/>
  <c r="J27" i="9"/>
  <c r="J32" i="9" s="1"/>
  <c r="C19" i="7"/>
  <c r="C20" i="7" s="1"/>
  <c r="C14" i="7"/>
  <c r="I8" i="7"/>
  <c r="I5" i="9" s="1"/>
  <c r="N5" i="9" s="1"/>
  <c r="I28" i="9"/>
  <c r="I26" i="9"/>
  <c r="I29" i="9"/>
  <c r="I27" i="9"/>
  <c r="I32" i="9" s="1"/>
  <c r="J24" i="7"/>
  <c r="J28" i="7" s="1"/>
  <c r="J6" i="9"/>
  <c r="C33" i="9"/>
  <c r="I24" i="7"/>
  <c r="I28" i="7" s="1"/>
  <c r="E24" i="7"/>
  <c r="E28" i="7" s="1"/>
  <c r="E6" i="9"/>
  <c r="D18" i="9"/>
  <c r="D13" i="9"/>
  <c r="K24" i="7"/>
  <c r="D28" i="7"/>
  <c r="L8" i="7"/>
  <c r="F6" i="9" l="1"/>
  <c r="G6" i="9"/>
  <c r="M5" i="9"/>
  <c r="M17" i="9"/>
  <c r="F33" i="9"/>
  <c r="C24" i="7"/>
  <c r="C18" i="9" s="1"/>
  <c r="N28" i="9"/>
  <c r="M28" i="9"/>
  <c r="D32" i="9"/>
  <c r="M27" i="9"/>
  <c r="J33" i="9"/>
  <c r="N29" i="9"/>
  <c r="M29" i="9"/>
  <c r="E12" i="10"/>
  <c r="E10" i="10"/>
  <c r="E9" i="10"/>
  <c r="E8" i="10"/>
  <c r="D4" i="10"/>
  <c r="D16" i="10" s="1"/>
  <c r="E6" i="10"/>
  <c r="E11" i="10"/>
  <c r="E7" i="10"/>
  <c r="H33" i="9"/>
  <c r="H6" i="9"/>
  <c r="N17" i="9"/>
  <c r="N27" i="9"/>
  <c r="H24" i="7"/>
  <c r="H28" i="7" s="1"/>
  <c r="I33" i="9"/>
  <c r="C28" i="7"/>
  <c r="D6" i="9"/>
  <c r="M6" i="9" s="1"/>
  <c r="I4" i="10" a="1"/>
  <c r="I4" i="10" s="1"/>
  <c r="J13" i="10" s="1"/>
  <c r="M26" i="9"/>
  <c r="N26" i="9"/>
  <c r="F13" i="9"/>
  <c r="F18" i="9"/>
  <c r="F7" i="9"/>
  <c r="G13" i="9"/>
  <c r="G18" i="9"/>
  <c r="G7" i="9"/>
  <c r="G24" i="9"/>
  <c r="K24" i="9"/>
  <c r="K18" i="9"/>
  <c r="K7" i="9"/>
  <c r="K13" i="9"/>
  <c r="I24" i="9"/>
  <c r="I18" i="9"/>
  <c r="I13" i="9"/>
  <c r="E7" i="9"/>
  <c r="E18" i="9"/>
  <c r="E13" i="9"/>
  <c r="F28" i="7"/>
  <c r="J13" i="9"/>
  <c r="J24" i="9"/>
  <c r="J7" i="9"/>
  <c r="J18" i="9"/>
  <c r="D7" i="9"/>
  <c r="C13" i="9"/>
  <c r="G33" i="7"/>
  <c r="E33" i="7"/>
  <c r="D33" i="7"/>
  <c r="I33" i="7"/>
  <c r="K28" i="7"/>
  <c r="J33" i="7"/>
  <c r="D91" i="7"/>
  <c r="E91" i="7"/>
  <c r="F91" i="7"/>
  <c r="G91" i="7"/>
  <c r="H91" i="7"/>
  <c r="I91" i="7"/>
  <c r="J91" i="7"/>
  <c r="K91" i="7"/>
  <c r="D90" i="7"/>
  <c r="E90" i="7"/>
  <c r="F90" i="7"/>
  <c r="G90" i="7"/>
  <c r="H90" i="7"/>
  <c r="I90" i="7"/>
  <c r="J90" i="7"/>
  <c r="K90" i="7"/>
  <c r="D89" i="7"/>
  <c r="E89" i="7"/>
  <c r="F89" i="7"/>
  <c r="G89" i="7"/>
  <c r="H89" i="7"/>
  <c r="I89" i="7"/>
  <c r="J89" i="7"/>
  <c r="K89" i="7"/>
  <c r="D88" i="7"/>
  <c r="E88" i="7"/>
  <c r="F88" i="7"/>
  <c r="G88" i="7"/>
  <c r="H88" i="7"/>
  <c r="I88" i="7"/>
  <c r="J88" i="7"/>
  <c r="K88" i="7"/>
  <c r="D87" i="7"/>
  <c r="E87" i="7"/>
  <c r="F87" i="7"/>
  <c r="G87" i="7"/>
  <c r="H87" i="7"/>
  <c r="I87" i="7"/>
  <c r="J87" i="7"/>
  <c r="K87" i="7"/>
  <c r="C91" i="7"/>
  <c r="C90" i="7"/>
  <c r="C89" i="7"/>
  <c r="C88" i="7"/>
  <c r="C87" i="7"/>
  <c r="D83" i="7"/>
  <c r="E83" i="7"/>
  <c r="F83" i="7"/>
  <c r="G83" i="7"/>
  <c r="H83" i="7"/>
  <c r="I83" i="7"/>
  <c r="J83" i="7"/>
  <c r="K83" i="7"/>
  <c r="D82" i="7"/>
  <c r="E82" i="7"/>
  <c r="F82" i="7"/>
  <c r="G82" i="7"/>
  <c r="H82" i="7"/>
  <c r="I82" i="7"/>
  <c r="J82" i="7"/>
  <c r="K82" i="7"/>
  <c r="D81" i="7"/>
  <c r="E81" i="7"/>
  <c r="F81" i="7"/>
  <c r="G81" i="7"/>
  <c r="H81" i="7"/>
  <c r="I81" i="7"/>
  <c r="J81" i="7"/>
  <c r="K81" i="7"/>
  <c r="D80" i="7"/>
  <c r="E80" i="7"/>
  <c r="F80" i="7"/>
  <c r="G80" i="7"/>
  <c r="H80" i="7"/>
  <c r="I80" i="7"/>
  <c r="J80" i="7"/>
  <c r="K80" i="7"/>
  <c r="D79" i="7"/>
  <c r="E79" i="7"/>
  <c r="F79" i="7"/>
  <c r="G79" i="7"/>
  <c r="H79" i="7"/>
  <c r="I79" i="7"/>
  <c r="J79" i="7"/>
  <c r="K79" i="7"/>
  <c r="D78" i="7"/>
  <c r="E78" i="7"/>
  <c r="F78" i="7"/>
  <c r="G78" i="7"/>
  <c r="H78" i="7"/>
  <c r="I78" i="7"/>
  <c r="J78" i="7"/>
  <c r="K78" i="7"/>
  <c r="D77" i="7"/>
  <c r="E77" i="7"/>
  <c r="F77" i="7"/>
  <c r="G77" i="7"/>
  <c r="H77" i="7"/>
  <c r="I77" i="7"/>
  <c r="J77" i="7"/>
  <c r="K77" i="7"/>
  <c r="D76" i="7"/>
  <c r="E76" i="7"/>
  <c r="F76" i="7"/>
  <c r="G76" i="7"/>
  <c r="H76" i="7"/>
  <c r="I76" i="7"/>
  <c r="J76" i="7"/>
  <c r="K76" i="7"/>
  <c r="D75" i="7"/>
  <c r="E75" i="7"/>
  <c r="F75" i="7"/>
  <c r="G75" i="7"/>
  <c r="H75" i="7"/>
  <c r="I75" i="7"/>
  <c r="J75" i="7"/>
  <c r="K75" i="7"/>
  <c r="C83" i="7"/>
  <c r="C82" i="7"/>
  <c r="C81" i="7"/>
  <c r="C80" i="7"/>
  <c r="C79" i="7"/>
  <c r="C78" i="7"/>
  <c r="C77" i="7"/>
  <c r="C76" i="7"/>
  <c r="C75" i="7"/>
  <c r="D71" i="7"/>
  <c r="E71" i="7"/>
  <c r="F71" i="7"/>
  <c r="G71" i="7"/>
  <c r="H71" i="7"/>
  <c r="I71" i="7"/>
  <c r="J71" i="7"/>
  <c r="K71" i="7"/>
  <c r="D70" i="7"/>
  <c r="E70" i="7"/>
  <c r="F70" i="7"/>
  <c r="G70" i="7"/>
  <c r="H70" i="7"/>
  <c r="I70" i="7"/>
  <c r="J70" i="7"/>
  <c r="K70" i="7"/>
  <c r="D69" i="7"/>
  <c r="E69" i="7"/>
  <c r="F69" i="7"/>
  <c r="G69" i="7"/>
  <c r="H69" i="7"/>
  <c r="I69" i="7"/>
  <c r="J69" i="7"/>
  <c r="K69" i="7"/>
  <c r="D68" i="7"/>
  <c r="E68" i="7"/>
  <c r="F68" i="7"/>
  <c r="G68" i="7"/>
  <c r="H68" i="7"/>
  <c r="I68" i="7"/>
  <c r="J68" i="7"/>
  <c r="K68" i="7"/>
  <c r="D67" i="7"/>
  <c r="E67" i="7"/>
  <c r="F67" i="7"/>
  <c r="G67" i="7"/>
  <c r="H67" i="7"/>
  <c r="I67" i="7"/>
  <c r="J67" i="7"/>
  <c r="K67" i="7"/>
  <c r="D66" i="7"/>
  <c r="E66" i="7"/>
  <c r="F66" i="7"/>
  <c r="G66" i="7"/>
  <c r="H66" i="7"/>
  <c r="I66" i="7"/>
  <c r="J66" i="7"/>
  <c r="K66" i="7"/>
  <c r="C71" i="7"/>
  <c r="C70" i="7"/>
  <c r="C69" i="7"/>
  <c r="C68" i="7"/>
  <c r="C67" i="7"/>
  <c r="C66" i="7"/>
  <c r="D36" i="7"/>
  <c r="D40" i="7" s="1"/>
  <c r="E36" i="7"/>
  <c r="E40" i="7" s="1"/>
  <c r="F36" i="7"/>
  <c r="G36" i="7"/>
  <c r="G40" i="7" s="1"/>
  <c r="H36" i="7"/>
  <c r="H40" i="7" s="1"/>
  <c r="I36" i="7"/>
  <c r="J36" i="7"/>
  <c r="J40" i="7" s="1"/>
  <c r="K36" i="7"/>
  <c r="C36" i="7"/>
  <c r="C40" i="7" s="1"/>
  <c r="D3" i="7"/>
  <c r="E3" i="7"/>
  <c r="F3" i="7"/>
  <c r="G3" i="7"/>
  <c r="H3" i="7"/>
  <c r="I3" i="7"/>
  <c r="J3" i="7"/>
  <c r="K3" i="7"/>
  <c r="C3" i="7"/>
  <c r="H24" i="9" l="1"/>
  <c r="M24" i="9" s="1"/>
  <c r="H7" i="9"/>
  <c r="H92" i="7"/>
  <c r="C92" i="7"/>
  <c r="N6" i="9"/>
  <c r="H13" i="9"/>
  <c r="N13" i="9" s="1"/>
  <c r="G92" i="7"/>
  <c r="F92" i="7"/>
  <c r="E92" i="7"/>
  <c r="D33" i="9"/>
  <c r="N31" i="9"/>
  <c r="M31" i="9"/>
  <c r="F40" i="7"/>
  <c r="M20" i="9"/>
  <c r="C31" i="7"/>
  <c r="I14" i="10"/>
  <c r="J14" i="10" s="1"/>
  <c r="I16" i="10"/>
  <c r="J5" i="10"/>
  <c r="H18" i="9"/>
  <c r="N18" i="9" s="1"/>
  <c r="E13" i="10"/>
  <c r="J12" i="10"/>
  <c r="D92" i="7"/>
  <c r="J11" i="10"/>
  <c r="F84" i="7"/>
  <c r="K92" i="7"/>
  <c r="J10" i="10"/>
  <c r="E84" i="7"/>
  <c r="J92" i="7"/>
  <c r="C33" i="7"/>
  <c r="D8" i="9" s="1"/>
  <c r="J9" i="10"/>
  <c r="E5" i="10"/>
  <c r="C84" i="7"/>
  <c r="D84" i="7"/>
  <c r="I92" i="7"/>
  <c r="J8" i="10"/>
  <c r="N32" i="9"/>
  <c r="M32" i="9"/>
  <c r="J7" i="10"/>
  <c r="D14" i="10"/>
  <c r="E14" i="10" s="1"/>
  <c r="L36" i="7"/>
  <c r="K40" i="7"/>
  <c r="K9" i="9" s="1"/>
  <c r="J6" i="10"/>
  <c r="I7" i="9"/>
  <c r="M7" i="9" s="1"/>
  <c r="D15" i="10"/>
  <c r="E15" i="10" s="1"/>
  <c r="I40" i="7"/>
  <c r="H33" i="7"/>
  <c r="H8" i="9" s="1"/>
  <c r="H9" i="9"/>
  <c r="E9" i="9"/>
  <c r="J14" i="9"/>
  <c r="J22" i="9"/>
  <c r="J8" i="9"/>
  <c r="F33" i="7"/>
  <c r="I22" i="9"/>
  <c r="I14" i="9"/>
  <c r="E22" i="9"/>
  <c r="E8" i="9"/>
  <c r="E14" i="9"/>
  <c r="D22" i="9"/>
  <c r="D14" i="9"/>
  <c r="G14" i="9"/>
  <c r="G22" i="9"/>
  <c r="N24" i="9"/>
  <c r="D9" i="9"/>
  <c r="K33" i="7"/>
  <c r="I84" i="7"/>
  <c r="K84" i="7"/>
  <c r="J84" i="7"/>
  <c r="H84" i="7"/>
  <c r="G84" i="7"/>
  <c r="D14" i="7"/>
  <c r="D11" i="9" s="1"/>
  <c r="J72" i="7"/>
  <c r="J35" i="9" s="1"/>
  <c r="K72" i="7"/>
  <c r="K35" i="9" s="1"/>
  <c r="I72" i="7"/>
  <c r="I35" i="9" s="1"/>
  <c r="H72" i="7"/>
  <c r="H35" i="9" s="1"/>
  <c r="E72" i="7"/>
  <c r="E35" i="9" s="1"/>
  <c r="G72" i="7"/>
  <c r="G35" i="9" s="1"/>
  <c r="F72" i="7"/>
  <c r="F35" i="9" s="1"/>
  <c r="D72" i="7"/>
  <c r="D35" i="9" s="1"/>
  <c r="C72" i="7"/>
  <c r="C35" i="9" s="1"/>
  <c r="F14" i="7"/>
  <c r="F11" i="9" s="1"/>
  <c r="C11" i="7"/>
  <c r="J11" i="7"/>
  <c r="I11" i="7"/>
  <c r="H11" i="7"/>
  <c r="G11" i="7"/>
  <c r="F11" i="7"/>
  <c r="E11" i="7"/>
  <c r="D11" i="7"/>
  <c r="F17" i="7"/>
  <c r="F16" i="9" s="1"/>
  <c r="E17" i="7"/>
  <c r="E16" i="9" s="1"/>
  <c r="D17" i="7"/>
  <c r="D16" i="9" s="1"/>
  <c r="J17" i="7"/>
  <c r="J16" i="9" s="1"/>
  <c r="L11" i="7"/>
  <c r="H14" i="7"/>
  <c r="H11" i="9" s="1"/>
  <c r="K11" i="7"/>
  <c r="K17" i="7"/>
  <c r="K16" i="9" s="1"/>
  <c r="I17" i="7"/>
  <c r="I16" i="9" s="1"/>
  <c r="H17" i="7"/>
  <c r="H16" i="9" s="1"/>
  <c r="G17" i="7"/>
  <c r="G16" i="9" s="1"/>
  <c r="M18" i="9" l="1"/>
  <c r="N7" i="9"/>
  <c r="M13" i="9"/>
  <c r="C14" i="9"/>
  <c r="I9" i="9"/>
  <c r="I8" i="9"/>
  <c r="C37" i="7"/>
  <c r="C41" i="7" s="1"/>
  <c r="C43" i="7" s="1"/>
  <c r="C34" i="7"/>
  <c r="F9" i="9"/>
  <c r="H22" i="9"/>
  <c r="G9" i="9"/>
  <c r="H14" i="9"/>
  <c r="N33" i="9"/>
  <c r="M33" i="9"/>
  <c r="J9" i="9"/>
  <c r="E16" i="10"/>
  <c r="J16" i="10"/>
  <c r="N20" i="9"/>
  <c r="J15" i="10"/>
  <c r="N35" i="9"/>
  <c r="M35" i="9"/>
  <c r="N4" i="10" a="1"/>
  <c r="N4" i="10" s="1"/>
  <c r="N16" i="9"/>
  <c r="M16" i="9"/>
  <c r="F14" i="9"/>
  <c r="F8" i="9"/>
  <c r="F22" i="9"/>
  <c r="K14" i="9"/>
  <c r="K22" i="9"/>
  <c r="K8" i="9"/>
  <c r="G8" i="9"/>
  <c r="D20" i="7"/>
  <c r="D12" i="9" s="1"/>
  <c r="K14" i="7"/>
  <c r="K11" i="9" s="1"/>
  <c r="I95" i="7"/>
  <c r="D95" i="7"/>
  <c r="G95" i="7"/>
  <c r="E95" i="7"/>
  <c r="H95" i="7"/>
  <c r="F95" i="7"/>
  <c r="J95" i="7"/>
  <c r="K95" i="7"/>
  <c r="C95" i="7"/>
  <c r="E14" i="7"/>
  <c r="E11" i="9" s="1"/>
  <c r="G14" i="7"/>
  <c r="G11" i="9" s="1"/>
  <c r="I14" i="7"/>
  <c r="I11" i="9" s="1"/>
  <c r="C11" i="9"/>
  <c r="I20" i="7"/>
  <c r="I12" i="9" s="1"/>
  <c r="K20" i="7"/>
  <c r="K12" i="9" s="1"/>
  <c r="E20" i="7"/>
  <c r="E12" i="9" s="1"/>
  <c r="J14" i="7"/>
  <c r="J11" i="9" s="1"/>
  <c r="G20" i="7"/>
  <c r="G12" i="9" s="1"/>
  <c r="L14" i="7"/>
  <c r="N9" i="9" l="1"/>
  <c r="M9" i="9"/>
  <c r="O7" i="10"/>
  <c r="O11" i="10"/>
  <c r="O10" i="10"/>
  <c r="O9" i="10"/>
  <c r="M22" i="9"/>
  <c r="O8" i="10"/>
  <c r="N8" i="9"/>
  <c r="N14" i="9"/>
  <c r="O6" i="10"/>
  <c r="M8" i="9"/>
  <c r="M14" i="9"/>
  <c r="N22" i="9"/>
  <c r="M36" i="9"/>
  <c r="N36" i="9"/>
  <c r="O5" i="10"/>
  <c r="N11" i="9"/>
  <c r="M11" i="9"/>
  <c r="D34" i="7"/>
  <c r="F20" i="7"/>
  <c r="F12" i="9" s="1"/>
  <c r="E34" i="7"/>
  <c r="E37" i="7"/>
  <c r="E41" i="7" s="1"/>
  <c r="E43" i="7" s="1"/>
  <c r="K34" i="7"/>
  <c r="K37" i="7"/>
  <c r="K41" i="7" s="1"/>
  <c r="K43" i="7" s="1"/>
  <c r="I34" i="7"/>
  <c r="I37" i="7"/>
  <c r="I41" i="7" s="1"/>
  <c r="I43" i="7" s="1"/>
  <c r="F34" i="7"/>
  <c r="F37" i="7"/>
  <c r="F41" i="7" s="1"/>
  <c r="F43" i="7" s="1"/>
  <c r="G34" i="7"/>
  <c r="G37" i="7"/>
  <c r="G41" i="7" s="1"/>
  <c r="G43" i="7" s="1"/>
  <c r="H34" i="7"/>
  <c r="H37" i="7"/>
  <c r="H41" i="7" s="1"/>
  <c r="H43" i="7" s="1"/>
  <c r="H20" i="7"/>
  <c r="H12" i="9" s="1"/>
  <c r="L20" i="7"/>
  <c r="C12" i="9"/>
  <c r="J20" i="7"/>
  <c r="J12" i="9" s="1"/>
  <c r="N12" i="9" l="1"/>
  <c r="M12" i="9"/>
  <c r="D37" i="7"/>
  <c r="H38" i="7"/>
  <c r="H21" i="9"/>
  <c r="H23" i="9" s="1"/>
  <c r="G38" i="7"/>
  <c r="G21" i="9"/>
  <c r="G23" i="9" s="1"/>
  <c r="I21" i="9"/>
  <c r="I23" i="9" s="1"/>
  <c r="I38" i="7"/>
  <c r="J34" i="7"/>
  <c r="J37" i="7"/>
  <c r="J41" i="7" s="1"/>
  <c r="J43" i="7" s="1"/>
  <c r="F38" i="7"/>
  <c r="F21" i="9"/>
  <c r="F23" i="9" s="1"/>
  <c r="K21" i="9"/>
  <c r="K23" i="9" s="1"/>
  <c r="L34" i="7"/>
  <c r="L37" i="7"/>
  <c r="E21" i="9"/>
  <c r="E23" i="9" s="1"/>
  <c r="E31" i="7"/>
  <c r="F31" i="7"/>
  <c r="I31" i="7"/>
  <c r="D31" i="7"/>
  <c r="H31" i="7"/>
  <c r="G31" i="7"/>
  <c r="K31" i="7"/>
  <c r="D41" i="7" l="1"/>
  <c r="D43" i="7" s="1"/>
  <c r="D21" i="9" s="1"/>
  <c r="D23" i="9" s="1"/>
  <c r="E38" i="7"/>
  <c r="J38" i="7"/>
  <c r="J21" i="9"/>
  <c r="J23" i="9" s="1"/>
  <c r="L38" i="7"/>
  <c r="K38" i="7"/>
  <c r="L31" i="7"/>
  <c r="J31" i="7"/>
  <c r="C6" i="3" l="1"/>
  <c r="D6" i="3"/>
  <c r="E6" i="3"/>
  <c r="F6" i="3"/>
  <c r="F14" i="3" s="1"/>
  <c r="G6" i="3"/>
  <c r="H6" i="3"/>
  <c r="I6" i="3"/>
  <c r="J6" i="3"/>
  <c r="K6" i="3"/>
  <c r="B6" i="3"/>
  <c r="C5" i="1"/>
  <c r="D5" i="1"/>
  <c r="E5" i="1"/>
  <c r="F5" i="1"/>
  <c r="G5" i="1"/>
  <c r="G6" i="1" s="1"/>
  <c r="G19" i="1" s="1"/>
  <c r="H5" i="1"/>
  <c r="I5" i="1"/>
  <c r="J5" i="1"/>
  <c r="K5" i="1"/>
  <c r="B5" i="1"/>
  <c r="J13" i="1"/>
  <c r="B6" i="6"/>
  <c r="C17" i="2"/>
  <c r="D17" i="2"/>
  <c r="D20" i="2" s="1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D23" i="2" s="1"/>
  <c r="E4" i="2"/>
  <c r="F24" i="2" s="1"/>
  <c r="E5" i="2"/>
  <c r="F4" i="2"/>
  <c r="G4" i="2"/>
  <c r="H4" i="2"/>
  <c r="I4" i="2"/>
  <c r="I5" i="2"/>
  <c r="J4" i="2"/>
  <c r="J5" i="2"/>
  <c r="J23" i="2" s="1"/>
  <c r="K4" i="2"/>
  <c r="C5" i="2"/>
  <c r="D5" i="2"/>
  <c r="F5" i="2"/>
  <c r="F23" i="2" s="1"/>
  <c r="G5" i="2"/>
  <c r="G23" i="2" s="1"/>
  <c r="H5" i="2"/>
  <c r="H23" i="2" s="1"/>
  <c r="K5" i="2"/>
  <c r="C6" i="2"/>
  <c r="D6" i="2"/>
  <c r="E6" i="2"/>
  <c r="F6" i="2"/>
  <c r="G6" i="2"/>
  <c r="H6" i="2"/>
  <c r="I6" i="2"/>
  <c r="J6" i="2"/>
  <c r="K6" i="2"/>
  <c r="C7" i="2"/>
  <c r="D7" i="2"/>
  <c r="D16" i="2" s="1"/>
  <c r="E7" i="2"/>
  <c r="F7" i="2"/>
  <c r="G7" i="2"/>
  <c r="G16" i="2" s="1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F16" i="2" s="1"/>
  <c r="G13" i="2"/>
  <c r="H13" i="2"/>
  <c r="H16" i="2" s="1"/>
  <c r="I13" i="2"/>
  <c r="J13" i="2"/>
  <c r="J16" i="2" s="1"/>
  <c r="K13" i="2"/>
  <c r="K16" i="2" s="1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D14" i="3" s="1"/>
  <c r="E4" i="3"/>
  <c r="E14" i="3" s="1"/>
  <c r="F4" i="3"/>
  <c r="G4" i="3"/>
  <c r="H4" i="3"/>
  <c r="L4" i="1" s="1"/>
  <c r="L23" i="1" s="1"/>
  <c r="I4" i="3"/>
  <c r="I14" i="3" s="1"/>
  <c r="J4" i="3"/>
  <c r="K4" i="3"/>
  <c r="K14" i="3" s="1"/>
  <c r="C5" i="3"/>
  <c r="D5" i="3"/>
  <c r="E5" i="3"/>
  <c r="F5" i="3"/>
  <c r="G5" i="3"/>
  <c r="H5" i="3"/>
  <c r="L5" i="1" s="1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I10" i="3"/>
  <c r="J10" i="3"/>
  <c r="K10" i="3"/>
  <c r="C11" i="3"/>
  <c r="D11" i="3"/>
  <c r="E11" i="3"/>
  <c r="F11" i="3"/>
  <c r="G11" i="3"/>
  <c r="H11" i="3"/>
  <c r="L11" i="1" s="1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E6" i="1" s="1"/>
  <c r="E19" i="1" s="1"/>
  <c r="F4" i="1"/>
  <c r="G4" i="1"/>
  <c r="G20" i="2" s="1"/>
  <c r="H4" i="1"/>
  <c r="I4" i="1"/>
  <c r="J4" i="1"/>
  <c r="J6" i="1" s="1"/>
  <c r="J19" i="1" s="1"/>
  <c r="K4" i="1"/>
  <c r="I23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F12" i="1"/>
  <c r="F13" i="1" s="1"/>
  <c r="F14" i="1" s="1"/>
  <c r="G12" i="1"/>
  <c r="G13" i="1" s="1"/>
  <c r="G14" i="1" s="1"/>
  <c r="H12" i="1"/>
  <c r="H13" i="1" s="1"/>
  <c r="I12" i="1"/>
  <c r="I13" i="1" s="1"/>
  <c r="J12" i="1"/>
  <c r="K12" i="1"/>
  <c r="K13" i="1" s="1"/>
  <c r="K14" i="1" s="1"/>
  <c r="C15" i="1"/>
  <c r="D15" i="1"/>
  <c r="E15" i="1"/>
  <c r="F15" i="1"/>
  <c r="G15" i="1"/>
  <c r="H15" i="1"/>
  <c r="I15" i="1"/>
  <c r="J15" i="1"/>
  <c r="J14" i="1"/>
  <c r="K15" i="1"/>
  <c r="B15" i="1"/>
  <c r="B7" i="1"/>
  <c r="B4" i="1"/>
  <c r="A1" i="1"/>
  <c r="A1" i="3" s="1"/>
  <c r="E1" i="6"/>
  <c r="H1" i="1" s="1"/>
  <c r="E1" i="2"/>
  <c r="E1" i="3"/>
  <c r="K23" i="2"/>
  <c r="C23" i="2"/>
  <c r="C16" i="2"/>
  <c r="C6" i="1"/>
  <c r="C19" i="1"/>
  <c r="D6" i="1"/>
  <c r="D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G14" i="3"/>
  <c r="J20" i="2"/>
  <c r="C20" i="2"/>
  <c r="E20" i="2"/>
  <c r="L12" i="1"/>
  <c r="L13" i="1" s="1"/>
  <c r="L14" i="1" s="1"/>
  <c r="L25" i="1" s="1"/>
  <c r="L6" i="1"/>
  <c r="A1" i="2"/>
  <c r="A1" i="4"/>
  <c r="C14" i="1" l="1"/>
  <c r="N11" i="1"/>
  <c r="M11" i="1"/>
  <c r="D24" i="2"/>
  <c r="J23" i="1"/>
  <c r="K6" i="1"/>
  <c r="K19" i="1" s="1"/>
  <c r="H14" i="1"/>
  <c r="L7" i="1"/>
  <c r="E16" i="2"/>
  <c r="H23" i="1"/>
  <c r="K20" i="2"/>
  <c r="B14" i="3"/>
  <c r="I6" i="1"/>
  <c r="I19" i="1" s="1"/>
  <c r="J24" i="1" s="1"/>
  <c r="I23" i="2"/>
  <c r="B16" i="2"/>
  <c r="F20" i="2"/>
  <c r="E14" i="1"/>
  <c r="J24" i="2"/>
  <c r="B20" i="2"/>
  <c r="I24" i="2"/>
  <c r="H24" i="2"/>
  <c r="E24" i="2"/>
  <c r="I14" i="1"/>
  <c r="K25" i="1" s="1"/>
  <c r="M25" i="1" s="1"/>
  <c r="M14" i="1" s="1"/>
  <c r="C24" i="2"/>
  <c r="L9" i="1"/>
  <c r="M9" i="1" s="1"/>
  <c r="K24" i="2"/>
  <c r="L19" i="1"/>
  <c r="L24" i="1" s="1"/>
  <c r="B23" i="2"/>
  <c r="G24" i="2"/>
  <c r="D13" i="1"/>
  <c r="E13" i="1" s="1"/>
  <c r="B6" i="1"/>
  <c r="B19" i="1" s="1"/>
  <c r="L8" i="1"/>
  <c r="E23" i="2"/>
  <c r="B14" i="1"/>
  <c r="C14" i="3"/>
  <c r="I16" i="2"/>
  <c r="J25" i="1"/>
  <c r="N8" i="1"/>
  <c r="M8" i="1"/>
  <c r="N23" i="1"/>
  <c r="N4" i="1" s="1"/>
  <c r="I25" i="1"/>
  <c r="I20" i="2"/>
  <c r="H20" i="2"/>
  <c r="K23" i="1"/>
  <c r="M23" i="1" s="1"/>
  <c r="M4" i="1" s="1"/>
  <c r="H6" i="1"/>
  <c r="H19" i="1" s="1"/>
  <c r="F6" i="1"/>
  <c r="F19" i="1" s="1"/>
  <c r="E1" i="4"/>
  <c r="K24" i="1" l="1"/>
  <c r="M24" i="1" s="1"/>
  <c r="M6" i="1" s="1"/>
  <c r="M10" i="1" s="1"/>
  <c r="M12" i="1" s="1"/>
  <c r="M13" i="1" s="1"/>
  <c r="M15" i="1" s="1"/>
  <c r="D14" i="1"/>
  <c r="H25" i="1" s="1"/>
  <c r="N25" i="1" s="1"/>
  <c r="N14" i="1" s="1"/>
  <c r="H24" i="1"/>
  <c r="N24" i="1" s="1"/>
  <c r="N6" i="1" s="1"/>
  <c r="N9" i="1"/>
  <c r="I24" i="1"/>
  <c r="N10" i="1" l="1"/>
  <c r="N12" i="1" s="1"/>
  <c r="N13" i="1" s="1"/>
  <c r="N5" i="1"/>
  <c r="N15" i="1"/>
  <c r="M5" i="1"/>
  <c r="D38" i="7" l="1"/>
  <c r="N21" i="9" l="1"/>
  <c r="M21" i="9"/>
  <c r="M23" i="9" l="1"/>
  <c r="N23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<sst xmlns="http://schemas.openxmlformats.org/spreadsheetml/2006/main" count="346" uniqueCount="215">
  <si>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</si>
  <si>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</si>
  <si>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</si>
  <si>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</si>
  <si>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</si>
  <si>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</si>
  <si>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</si>
  <si>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</si>
  <si>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</si>
  <si>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</si>
  <si>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</si>
  <si>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</si>
  <si>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</si>
  <si>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</si>
  <si>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</si>
  <si>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</si>
  <si>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</si>
  <si>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</si>
  <si>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</si>
  <si>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</si>
  <si>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</si>
  <si>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</si>
  <si>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</si>
  <si>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</si>
  <si>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</si>
  <si>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</si>
  <si>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</si>
  <si>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</si>
  <si>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</si>
  <si>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</si>
  <si>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</si>
  <si>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</si>
  <si>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</si>
  <si>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</si>
  <si>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</si>
  <si>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</si>
  <si>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</si>
  <si>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</si>
  <si>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</si>
  <si>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</si>
  <si>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</si>
  <si>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</si>
  <si>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</si>
  <si>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</si>
  <si>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</si>
  <si>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</si>
  <si>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</si>
  <si>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</si>
  <si>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</si>
  <si>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</si>
  <si>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</si>
  <si>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</si>
  <si>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</si>
  <si>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</si>
  <si>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INFOSYS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</si>
  <si>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</si>
  <si>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</si>
  <si>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</si>
  <si>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</si>
  <si>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</si>
  <si>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</si>
  <si>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</si>
  <si>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</si>
  <si>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</si>
  <si>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</si>
  <si>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</si>
  <si>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</si>
  <si>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</si>
  <si>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</si>
  <si>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</si>
  <si>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</si>
  <si>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</si>
  <si>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</si>
  <si>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</si>
  <si>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</si>
  <si>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</si>
  <si>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</si>
  <si>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</si>
  <si>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</si>
  <si>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</si>
  <si>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</si>
  <si>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</si>
  <si>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</si>
  <si>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Income Statement</t>
  </si>
  <si>
    <t>#</t>
  </si>
  <si>
    <t>COGS</t>
  </si>
  <si>
    <t>COGS % of Sales</t>
  </si>
  <si>
    <t>Gross Profit</t>
  </si>
  <si>
    <t>Gross Margins %</t>
  </si>
  <si>
    <t>Selling and Gereral expenses</t>
  </si>
  <si>
    <t>S &amp; G Expenses % of Sales</t>
  </si>
  <si>
    <t>EBITDA</t>
  </si>
  <si>
    <t>EBITDA % of Sales</t>
  </si>
  <si>
    <t>EBIT</t>
  </si>
  <si>
    <t>EBT</t>
  </si>
  <si>
    <t>Effective Tax Rate</t>
  </si>
  <si>
    <t>Net Profit</t>
  </si>
  <si>
    <t>Net Profit % of Sales</t>
  </si>
  <si>
    <t>No of Equity Shares</t>
  </si>
  <si>
    <t>Earning Per Share</t>
  </si>
  <si>
    <t>EPS Growth %</t>
  </si>
  <si>
    <t>-</t>
  </si>
  <si>
    <t>Dividend Per Share</t>
  </si>
  <si>
    <t>Dividend Payout Ratio</t>
  </si>
  <si>
    <t>Retained Earnings</t>
  </si>
  <si>
    <t>Balance Sheet</t>
  </si>
  <si>
    <t>Total Liabilities</t>
  </si>
  <si>
    <t>Net Block of Fixed Assets</t>
  </si>
  <si>
    <t>Total Assets</t>
  </si>
  <si>
    <t>Cash Flow Statement</t>
  </si>
  <si>
    <t>Operating Activities</t>
  </si>
  <si>
    <r>
      <t>Cash from Operating Activity </t>
    </r>
    <r>
      <rPr>
        <sz val="11"/>
        <color rgb="FF665EFD"/>
        <rFont val="Arial"/>
        <family val="2"/>
      </rPr>
      <t>-</t>
    </r>
  </si>
  <si>
    <t>Profit from operations</t>
  </si>
  <si>
    <t>Payables</t>
  </si>
  <si>
    <t>Loans Advances</t>
  </si>
  <si>
    <t>Other WC items</t>
  </si>
  <si>
    <t>Working capital changes</t>
  </si>
  <si>
    <t>Direct taxes</t>
  </si>
  <si>
    <r>
      <t>Cash from Investing Activity </t>
    </r>
    <r>
      <rPr>
        <sz val="11"/>
        <color rgb="FF665EFD"/>
        <rFont val="Arial"/>
        <family val="2"/>
      </rPr>
      <t>-</t>
    </r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</si>
  <si>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</si>
  <si>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</si>
  <si>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</si>
  <si>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</si>
  <si>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</si>
  <si>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</si>
  <si>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Acquisition of companies</t>
  </si>
  <si>
    <t>Other investing items</t>
  </si>
  <si>
    <r>
      <t>Cash from Financing Activity </t>
    </r>
    <r>
      <rPr>
        <sz val="11"/>
        <color rgb="FF665EFD"/>
        <rFont val="Arial"/>
        <family val="2"/>
      </rPr>
      <t>-</t>
    </r>
  </si>
  <si>
    <t>Proceeds from shares</t>
  </si>
  <si>
    <t>Dividends paid</t>
  </si>
  <si>
    <t>Financial liabilities</t>
  </si>
  <si>
    <t>Other financing items</t>
  </si>
  <si>
    <t>Direct Taxes</t>
  </si>
  <si>
    <t>Cash Flow From Operating Activities</t>
  </si>
  <si>
    <t>Investing Activities</t>
  </si>
  <si>
    <t>Cash Flow From Investing Actvities</t>
  </si>
  <si>
    <t>Financing Activities</t>
  </si>
  <si>
    <t>Inter corporate deposits</t>
  </si>
  <si>
    <t>Repayment of borrowings</t>
  </si>
  <si>
    <t>Inter Corporate Deposits</t>
  </si>
  <si>
    <t>Repayment Of Borrowings</t>
  </si>
  <si>
    <t>Trend</t>
  </si>
  <si>
    <t>Mean</t>
  </si>
  <si>
    <t>Median</t>
  </si>
  <si>
    <t>Sales Growth %</t>
  </si>
  <si>
    <t>EBITDA Growth</t>
  </si>
  <si>
    <t>EBIT Growth</t>
  </si>
  <si>
    <t>Net Profit Growth</t>
  </si>
  <si>
    <t>Dividend Growth</t>
  </si>
  <si>
    <t>Gross Margin</t>
  </si>
  <si>
    <t>EBITDA Margin</t>
  </si>
  <si>
    <t>EBIT Margin</t>
  </si>
  <si>
    <t>Net Profit Margin</t>
  </si>
  <si>
    <t>Sales Expense % of Sales</t>
  </si>
  <si>
    <t>Depreciation % of Sales</t>
  </si>
  <si>
    <t>Operating Income % of Sales</t>
  </si>
  <si>
    <t>Return on Capital Employed</t>
  </si>
  <si>
    <t>Retained Earnings %</t>
  </si>
  <si>
    <t>Return on Equity %</t>
  </si>
  <si>
    <t>Self Sustained Growth Rate</t>
  </si>
  <si>
    <t>Interest Coverage Ratio</t>
  </si>
  <si>
    <t>Debtor Turnover Ratio</t>
  </si>
  <si>
    <t>Creditor Turnover Ratio</t>
  </si>
  <si>
    <t>Fixed Assets Turnover</t>
  </si>
  <si>
    <t>Capital Turnover Ratio</t>
  </si>
  <si>
    <t>Payable Days</t>
  </si>
  <si>
    <t>Cash Conversion Days</t>
  </si>
  <si>
    <t>CFO/Sales</t>
  </si>
  <si>
    <t>CFO/Total Assets</t>
  </si>
  <si>
    <t>Historical Financial Statements - INFOSYS LTD</t>
  </si>
  <si>
    <t>Ratio Analysis - INFOSYS LTD</t>
  </si>
  <si>
    <t xml:space="preserve">INFOSYS LTD- Sales </t>
  </si>
  <si>
    <t>Year Weight</t>
  </si>
  <si>
    <t>INFOSYS LTD- EBITDA</t>
  </si>
  <si>
    <t>INFOSYS LTD- Net Profit</t>
  </si>
  <si>
    <t>Financial Insights Summmary --- INFOSYS</t>
  </si>
  <si>
    <t>“Overall, the company shows strong financial stability with consistent growth and healthy cash flows.”</t>
  </si>
  <si>
    <t>🔹 Revenue</t>
  </si>
  <si>
    <t>Consistent growth over years</t>
  </si>
  <si>
    <t>Growth rate stabilizing (mature business signal)</t>
  </si>
  <si>
    <t>🔹 Profitability</t>
  </si>
  <si>
    <t>Strong &amp; stable margins</t>
  </si>
  <si>
    <t>Indicates efficient operations</t>
  </si>
  <si>
    <t>Slight pressure possible due to rising costs</t>
  </si>
  <si>
    <t>🔹 Cash Flow</t>
  </si>
  <si>
    <t>Strong operating cash flows</t>
  </si>
  <si>
    <t>Profits backed by real cash (high earnings quality)</t>
  </si>
  <si>
    <t>🔹 Balance Sheet</t>
  </si>
  <si>
    <t>Low debt levels</t>
  </si>
  <si>
    <t>Strong cash position</t>
  </si>
  <si>
    <t>Financially stable company</t>
  </si>
  <si>
    <t>🔹 Ratios</t>
  </si>
  <si>
    <t>ROE strong → efficient use of capital</t>
  </si>
  <si>
    <t>Liquidity comfortable → no short-term stress</t>
  </si>
  <si>
    <t>Low leverage → low financial risk</t>
  </si>
  <si>
    <t>🔹 Strengths</t>
  </si>
  <si>
    <t>Consistent growth</t>
  </si>
  <si>
    <t>Strong margins</t>
  </si>
  <si>
    <t>Healthy cash flows</t>
  </si>
  <si>
    <t>Stable financial position</t>
  </si>
  <si>
    <t>🔹 Risks</t>
  </si>
  <si>
    <t>Slowing growth (mature company)</t>
  </si>
  <si>
    <t>Margin pressure</t>
  </si>
  <si>
    <t>Dependence on IT sector demand</t>
  </si>
  <si>
    <t>🔹 Conclusion</t>
  </si>
  <si>
    <t>Fundamentally strong &amp; stable company</t>
  </si>
  <si>
    <t>Moderate future growth expected</t>
  </si>
  <si>
    <t>Low-risk business profile</t>
  </si>
  <si>
    <t>1)</t>
  </si>
  <si>
    <t>2)</t>
  </si>
  <si>
    <t>3)</t>
  </si>
  <si>
    <t>4)</t>
  </si>
  <si>
    <t>Cash is parked on non current investments</t>
  </si>
  <si>
    <t>Long term assets got tripled in 8 years</t>
  </si>
  <si>
    <t>Slight dip in margins (Still Manageable)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</si>
</sst>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7" formatCode="&quot;₹&quot;\ #,##0.00;&quot;₹&quot;\ \-#,##0.00"/>
    <numFmt numFmtId="8" formatCode="&quot;₹&quot;\ #,##0.00;[Red]&quot;₹&quot;\ \-#,##0.00"/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&quot;₹&quot;\ #,##0.00;\(&quot;₹&quot;#,##0.00\)"/>
    <numFmt numFmtId="167" formatCode="0.00\x"/>
    <numFmt numFmtId="168" formatCode="0\ &quot;Days&quot;"/>
    <numFmt numFmtId="169" formatCode="0.00&quot;x&quot;"/>
    <numFmt numFmtId="170" formatCode="0&quot;A&quot;"/>
    <numFmt numFmtId="171" formatCode="0&quot;E&quot;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rgb="FFDBE4F0"/>
      </top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22">
    <xf numFmtId="0" fontId="0" fillId="0" borderId="0" xfId="0"/>
    <xf numFmtId="43" fontId="1" fillId="0" borderId="0" xfId="1" applyFont="1" applyBorder="1"/>
    <xf numFmtId="0" fontId="1" fillId="0" borderId="0" xfId="0" applyFont="1"/>
    <xf numFmtId="0" fontId="6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/>
    <xf numFmtId="164" fontId="0" fillId="0" borderId="0" xfId="1" applyNumberFormat="1" applyFont="1" applyBorder="1"/>
    <xf numFmtId="0" fontId="2" fillId="6" borderId="0" xfId="0" applyFont="1" applyFill="1"/>
    <xf numFmtId="17" fontId="2" fillId="6" borderId="0" xfId="0" applyNumberFormat="1" applyFont="1" applyFill="1"/>
    <xf numFmtId="0" fontId="0" fillId="7" borderId="0" xfId="0" applyFill="1"/>
    <xf numFmtId="0" fontId="1" fillId="7" borderId="0" xfId="0" applyFont="1" applyFill="1"/>
    <xf numFmtId="17" fontId="2" fillId="6" borderId="0" xfId="0" applyNumberFormat="1" applyFont="1" applyFill="1" applyAlignment="1">
      <alignment horizontal="right"/>
    </xf>
    <xf numFmtId="0" fontId="1" fillId="0" borderId="1" xfId="0" applyFont="1" applyBorder="1"/>
    <xf numFmtId="8" fontId="1" fillId="0" borderId="1" xfId="0" applyNumberFormat="1" applyFont="1" applyBorder="1"/>
    <xf numFmtId="43" fontId="0" fillId="0" borderId="0" xfId="0" applyNumberFormat="1"/>
    <xf numFmtId="0" fontId="8" fillId="0" borderId="0" xfId="0" applyFont="1"/>
    <xf numFmtId="0" fontId="9" fillId="0" borderId="0" xfId="0" applyFont="1"/>
    <xf numFmtId="8" fontId="0" fillId="0" borderId="0" xfId="0" applyNumberFormat="1" applyAlignment="1">
      <alignment horizontal="right"/>
    </xf>
    <xf numFmtId="10" fontId="8" fillId="0" borderId="0" xfId="6" applyNumberFormat="1" applyFont="1" applyAlignment="1">
      <alignment horizontal="right"/>
    </xf>
    <xf numFmtId="0" fontId="0" fillId="0" borderId="0" xfId="0" applyAlignment="1">
      <alignment horizontal="right"/>
    </xf>
    <xf numFmtId="8" fontId="1" fillId="0" borderId="1" xfId="0" applyNumberFormat="1" applyFont="1" applyBorder="1" applyAlignment="1">
      <alignment horizontal="right"/>
    </xf>
    <xf numFmtId="10" fontId="9" fillId="0" borderId="0" xfId="6" applyNumberFormat="1" applyFont="1" applyAlignment="1">
      <alignment horizontal="right"/>
    </xf>
    <xf numFmtId="0" fontId="9" fillId="0" borderId="0" xfId="0" applyFont="1" applyAlignment="1">
      <alignment horizontal="right"/>
    </xf>
    <xf numFmtId="10" fontId="0" fillId="0" borderId="0" xfId="6" applyNumberFormat="1" applyFont="1" applyAlignment="1">
      <alignment horizontal="right"/>
    </xf>
    <xf numFmtId="0" fontId="0" fillId="8" borderId="0" xfId="0" applyFill="1"/>
    <xf numFmtId="17" fontId="10" fillId="8" borderId="0" xfId="0" applyNumberFormat="1" applyFont="1" applyFill="1" applyAlignment="1">
      <alignment horizontal="right" vertical="center" wrapText="1"/>
    </xf>
    <xf numFmtId="0" fontId="11" fillId="9" borderId="2" xfId="0" applyFont="1" applyFill="1" applyBorder="1" applyAlignment="1">
      <alignment horizontal="left" vertical="center" indent="1"/>
    </xf>
    <xf numFmtId="3" fontId="11" fillId="9" borderId="2" xfId="0" applyNumberFormat="1" applyFont="1" applyFill="1" applyBorder="1" applyAlignment="1">
      <alignment horizontal="right" vertical="center" wrapText="1"/>
    </xf>
    <xf numFmtId="0" fontId="11" fillId="9" borderId="2" xfId="0" applyFont="1" applyFill="1" applyBorder="1" applyAlignment="1">
      <alignment horizontal="left" vertical="center"/>
    </xf>
    <xf numFmtId="0" fontId="13" fillId="9" borderId="0" xfId="0" applyFont="1" applyFill="1" applyAlignment="1">
      <alignment horizontal="left" vertical="center"/>
    </xf>
    <xf numFmtId="3" fontId="13" fillId="9" borderId="0" xfId="0" applyNumberFormat="1" applyFont="1" applyFill="1" applyAlignment="1">
      <alignment horizontal="right" vertical="center" wrapText="1"/>
    </xf>
    <xf numFmtId="0" fontId="13" fillId="9" borderId="0" xfId="0" applyFont="1" applyFill="1" applyAlignment="1">
      <alignment horizontal="right" vertical="center" wrapText="1"/>
    </xf>
    <xf numFmtId="0" fontId="11" fillId="9" borderId="2" xfId="0" applyFont="1" applyFill="1" applyBorder="1" applyAlignment="1">
      <alignment horizontal="right" vertical="center" wrapText="1"/>
    </xf>
    <xf numFmtId="3" fontId="13" fillId="8" borderId="0" xfId="0" applyNumberFormat="1" applyFont="1" applyFill="1" applyAlignment="1">
      <alignment horizontal="right" vertical="center" wrapText="1"/>
    </xf>
    <xf numFmtId="0" fontId="13" fillId="8" borderId="0" xfId="0" applyFont="1" applyFill="1" applyAlignment="1">
      <alignment horizontal="right" vertical="center" wrapText="1"/>
    </xf>
    <xf numFmtId="0" fontId="11" fillId="8" borderId="2" xfId="0" applyFont="1" applyFill="1" applyBorder="1" applyAlignment="1">
      <alignment horizontal="left" vertical="center" indent="1"/>
    </xf>
    <xf numFmtId="3" fontId="11" fillId="8" borderId="2" xfId="0" applyNumberFormat="1" applyFont="1" applyFill="1" applyBorder="1" applyAlignment="1">
      <alignment horizontal="right" vertical="center" wrapText="1"/>
    </xf>
    <xf numFmtId="0" fontId="11" fillId="8" borderId="2" xfId="0" applyFont="1" applyFill="1" applyBorder="1" applyAlignment="1">
      <alignment horizontal="right" vertical="center" wrapText="1"/>
    </xf>
    <xf numFmtId="0" fontId="13" fillId="8" borderId="0" xfId="0" applyFont="1" applyFill="1" applyAlignment="1">
      <alignment horizontal="left" vertical="center"/>
    </xf>
    <xf numFmtId="166" fontId="0" fillId="0" borderId="0" xfId="0" applyNumberFormat="1"/>
    <xf numFmtId="166" fontId="1" fillId="0" borderId="1" xfId="0" applyNumberFormat="1" applyFont="1" applyBorder="1"/>
    <xf numFmtId="0" fontId="1" fillId="0" borderId="3" xfId="0" applyFont="1" applyBorder="1"/>
    <xf numFmtId="166" fontId="1" fillId="0" borderId="3" xfId="0" applyNumberFormat="1" applyFont="1" applyBorder="1"/>
    <xf numFmtId="0" fontId="2" fillId="6" borderId="0" xfId="0" applyFont="1" applyFill="1" applyAlignment="1">
      <alignment horizontal="right"/>
    </xf>
    <xf numFmtId="0" fontId="0" fillId="10" borderId="0" xfId="0" applyFill="1"/>
    <xf numFmtId="0" fontId="0" fillId="0" borderId="0" xfId="0" applyAlignment="1">
      <alignment horizontal="left" vertical="top"/>
    </xf>
    <xf numFmtId="0" fontId="0" fillId="10" borderId="0" xfId="0" applyFill="1" applyAlignment="1">
      <alignment horizontal="right"/>
    </xf>
    <xf numFmtId="0" fontId="0" fillId="0" borderId="4" xfId="0" applyBorder="1" applyAlignment="1">
      <alignment horizontal="left" vertical="top"/>
    </xf>
    <xf numFmtId="10" fontId="0" fillId="0" borderId="4" xfId="0" applyNumberFormat="1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left" vertical="top"/>
    </xf>
    <xf numFmtId="0" fontId="0" fillId="0" borderId="5" xfId="0" applyBorder="1" applyAlignment="1">
      <alignment horizontal="right"/>
    </xf>
    <xf numFmtId="10" fontId="0" fillId="0" borderId="5" xfId="0" applyNumberFormat="1" applyBorder="1" applyAlignment="1">
      <alignment horizontal="right"/>
    </xf>
    <xf numFmtId="0" fontId="0" fillId="0" borderId="5" xfId="0" applyBorder="1"/>
    <xf numFmtId="0" fontId="0" fillId="0" borderId="0" xfId="0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170" fontId="0" fillId="0" borderId="0" xfId="0" applyNumberFormat="1" applyAlignment="1">
      <alignment horizontal="center"/>
    </xf>
    <xf numFmtId="10" fontId="0" fillId="0" borderId="0" xfId="6" applyNumberFormat="1" applyFont="1" applyAlignment="1">
      <alignment horizontal="center"/>
    </xf>
    <xf numFmtId="0" fontId="0" fillId="0" borderId="0" xfId="0" applyAlignment="1">
      <alignment horizontal="center"/>
    </xf>
    <xf numFmtId="170" fontId="0" fillId="0" borderId="0" xfId="0" applyNumberFormat="1" applyAlignment="1">
      <alignment horizontal="right"/>
    </xf>
    <xf numFmtId="8" fontId="0" fillId="12" borderId="0" xfId="0" applyNumberFormat="1" applyFill="1" applyAlignment="1">
      <alignment horizontal="right"/>
    </xf>
    <xf numFmtId="10" fontId="0" fillId="12" borderId="0" xfId="6" applyNumberFormat="1" applyFont="1" applyFill="1" applyAlignment="1">
      <alignment horizontal="right"/>
    </xf>
    <xf numFmtId="0" fontId="0" fillId="12" borderId="0" xfId="0" applyFill="1" applyAlignment="1">
      <alignment horizontal="right"/>
    </xf>
    <xf numFmtId="0" fontId="1" fillId="11" borderId="0" xfId="0" applyFont="1" applyFill="1" applyAlignment="1">
      <alignment horizontal="center"/>
    </xf>
    <xf numFmtId="7" fontId="0" fillId="0" borderId="0" xfId="0" applyNumberFormat="1" applyAlignment="1">
      <alignment horizontal="center"/>
    </xf>
    <xf numFmtId="0" fontId="0" fillId="12" borderId="0" xfId="0" applyFill="1" applyAlignment="1">
      <alignment horizontal="center"/>
    </xf>
    <xf numFmtId="7" fontId="0" fillId="12" borderId="0" xfId="0" applyNumberFormat="1" applyFill="1" applyAlignment="1">
      <alignment horizontal="center"/>
    </xf>
    <xf numFmtId="10" fontId="0" fillId="12" borderId="0" xfId="6" applyNumberFormat="1" applyFont="1" applyFill="1" applyAlignment="1">
      <alignment horizontal="center"/>
    </xf>
    <xf numFmtId="171" fontId="0" fillId="12" borderId="0" xfId="0" applyNumberFormat="1" applyFill="1" applyAlignment="1">
      <alignment horizontal="center"/>
    </xf>
    <xf numFmtId="170" fontId="0" fillId="10" borderId="0" xfId="0" applyNumberFormat="1" applyFill="1" applyAlignment="1">
      <alignment horizontal="right"/>
    </xf>
    <xf numFmtId="8" fontId="0" fillId="10" borderId="0" xfId="0" applyNumberFormat="1" applyFill="1" applyAlignment="1">
      <alignment horizontal="right"/>
    </xf>
    <xf numFmtId="10" fontId="0" fillId="10" borderId="0" xfId="6" applyNumberFormat="1" applyFont="1" applyFill="1" applyAlignment="1">
      <alignment horizontal="right"/>
    </xf>
    <xf numFmtId="0" fontId="0" fillId="10" borderId="0" xfId="0" applyFill="1" applyAlignment="1">
      <alignment horizontal="center"/>
    </xf>
    <xf numFmtId="170" fontId="0" fillId="10" borderId="0" xfId="0" applyNumberFormat="1" applyFill="1" applyAlignment="1">
      <alignment horizontal="center"/>
    </xf>
    <xf numFmtId="7" fontId="0" fillId="10" borderId="0" xfId="0" applyNumberFormat="1" applyFill="1" applyAlignment="1">
      <alignment horizontal="center"/>
    </xf>
    <xf numFmtId="10" fontId="0" fillId="10" borderId="0" xfId="6" applyNumberFormat="1" applyFont="1" applyFill="1" applyAlignment="1">
      <alignment horizontal="center"/>
    </xf>
    <xf numFmtId="171" fontId="0" fillId="12" borderId="0" xfId="0" applyNumberFormat="1" applyFill="1" applyAlignment="1">
      <alignment horizontal="right"/>
    </xf>
    <xf numFmtId="10" fontId="0" fillId="0" borderId="0" xfId="0" applyNumberFormat="1" applyAlignment="1">
      <alignment horizontal="right"/>
    </xf>
    <xf numFmtId="0" fontId="0" fillId="10" borderId="0" xfId="0" applyFill="1" applyAlignment="1">
      <alignment horizontal="left" vertical="top"/>
    </xf>
    <xf numFmtId="17" fontId="0" fillId="10" borderId="0" xfId="0" applyNumberFormat="1" applyFill="1" applyAlignment="1">
      <alignment horizontal="right"/>
    </xf>
    <xf numFmtId="167" fontId="0" fillId="0" borderId="5" xfId="0" applyNumberFormat="1" applyBorder="1" applyAlignment="1">
      <alignment horizontal="right"/>
    </xf>
    <xf numFmtId="169" fontId="0" fillId="0" borderId="5" xfId="0" applyNumberFormat="1" applyBorder="1" applyAlignment="1">
      <alignment horizontal="right"/>
    </xf>
    <xf numFmtId="167" fontId="0" fillId="0" borderId="4" xfId="0" applyNumberFormat="1" applyBorder="1" applyAlignment="1">
      <alignment horizontal="right"/>
    </xf>
    <xf numFmtId="167" fontId="0" fillId="0" borderId="0" xfId="0" applyNumberFormat="1" applyAlignment="1">
      <alignment horizontal="right"/>
    </xf>
    <xf numFmtId="168" fontId="0" fillId="0" borderId="4" xfId="0" applyNumberFormat="1" applyBorder="1" applyAlignment="1">
      <alignment horizontal="right"/>
    </xf>
    <xf numFmtId="168" fontId="0" fillId="0" borderId="0" xfId="0" applyNumberFormat="1" applyAlignment="1">
      <alignment horizontal="right"/>
    </xf>
    <xf numFmtId="168" fontId="0" fillId="0" borderId="5" xfId="0" applyNumberFormat="1" applyBorder="1" applyAlignment="1">
      <alignment horizontal="right"/>
    </xf>
    <xf numFmtId="0" fontId="15" fillId="13" borderId="0" xfId="0" applyFont="1" applyFill="1"/>
    <xf numFmtId="0" fontId="1" fillId="13" borderId="0" xfId="0" applyFont="1" applyFill="1"/>
    <xf numFmtId="0" fontId="16" fillId="13" borderId="0" xfId="0" applyFont="1" applyFill="1"/>
    <xf numFmtId="0" fontId="0" fillId="13" borderId="0" xfId="0" applyFill="1"/>
    <xf numFmtId="0" fontId="0" fillId="13" borderId="0" xfId="0" applyFill="1" applyAlignment="1">
      <alignment horizontal="left" vertical="center" indent="1"/>
    </xf>
    <xf numFmtId="0" fontId="0" fillId="13" borderId="0" xfId="0" applyFill="1" applyAlignment="1">
      <alignment horizontal="right"/>
    </xf>
    <xf numFmtId="0" fontId="14" fillId="13" borderId="0" xfId="0" applyFont="1" applyFill="1"/>
    <xf numFmtId="0" fontId="17" fillId="13" borderId="0" xfId="0" applyFont="1" applyFill="1" applyAlignment="1">
      <alignment horizontal="right" vertical="top"/>
    </xf>
    <xf numFmtId="0" fontId="0" fillId="13" borderId="6" xfId="0" applyFill="1" applyBorder="1" applyAlignment="1">
      <alignment horizontal="right" vertical="top"/>
    </xf>
    <xf numFmtId="0" fontId="17" fillId="13" borderId="6" xfId="0" applyFont="1" applyFill="1" applyBorder="1" applyAlignment="1">
      <alignment horizontal="right" vertical="top"/>
    </xf>
    <xf numFmtId="0" fontId="17" fillId="13" borderId="6" xfId="0" applyFont="1" applyFill="1" applyBorder="1" applyAlignment="1">
      <alignment vertical="center"/>
    </xf>
    <xf numFmtId="0" fontId="20" fillId="13" borderId="6" xfId="0" applyFont="1" applyFill="1" applyBorder="1"/>
    <xf numFmtId="0" fontId="0" fillId="13" borderId="6" xfId="0" applyFill="1" applyBorder="1"/>
    <xf numFmtId="0" fontId="18" fillId="13" borderId="6" xfId="0" applyFont="1" applyFill="1" applyBorder="1" applyAlignment="1">
      <alignment vertical="center"/>
    </xf>
    <xf numFmtId="0" fontId="19" fillId="13" borderId="6" xfId="0" applyFont="1" applyFill="1" applyBorder="1"/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8" fillId="13" borderId="6" xfId="0" applyFont="1" applyFill="1" applyBorder="1" applyAlignment="1">
      <alignment horizontal="center" vertical="center"/>
    </xf>
    <xf numFmtId="8" fontId="1" fillId="0" borderId="0" xfId="0" applyNumberFormat="1" applyFont="1" applyAlignment="1">
      <alignment horizontal="right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creener.in/excel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E8" activePane="bottomRight" state="frozen"/>
      <selection activeCell="I2" sqref="I2"/>
      <selection pane="topRight" activeCell="I2" sqref="I2"/>
      <selection pane="bottomLeft" activeCell="I2" sqref="I2"/>
      <selection pane="bottomRight" activeCell="C21" sqref="C21"/>
    </sheetView>
  </sheetViews>
  <sheetFormatPr defaultColWidth="8.796875" defaultRowHeight="14.25" x14ac:dyDescent="0.45"/>
  <cols>
    <col min="1" max="1" width="20.6640625" customWidth="1"/>
    <col min="2" max="6" width="13.46484375" customWidth="1"/>
    <col min="7" max="7" width="14.796875" bestFit="1" customWidth="1"/>
    <col min="8" max="11" width="13.46484375" customWidth="1"/>
    <col min="12" max="12" width="13.33203125" customWidth="1"/>
    <col min="13" max="14" width="12.1328125" customWidth="1"/>
  </cols>
  <sheetData>
    <row r="1" spans="1:14" s="2" customFormat="1" x14ac:dyDescent="0.45">
      <c r="A1" s="2" t="str">
        <f>'Data (Input)'!B1</f>
        <v>INFOSYS LTD</v>
      </c>
      <c r="H1" t="str">
        <f>UPDATE</f>
        <v/>
      </c>
      <c r="J1" s="3"/>
      <c r="K1" s="3"/>
      <c r="M1" s="2" t="s">
        <v>1</v>
      </c>
    </row>
    <row r="3" spans="1:14" s="2" customFormat="1" x14ac:dyDescent="0.45">
      <c r="A3" s="11" t="s">
        <v>2</v>
      </c>
      <c r="B3" s="12">
        <f>'Data (Input)'!B16</f>
        <v>42460</v>
      </c>
      <c r="C3" s="12">
        <f>'Data (Input)'!C16</f>
        <v>42825</v>
      </c>
      <c r="D3" s="12">
        <f>'Data (Input)'!D16</f>
        <v>43190</v>
      </c>
      <c r="E3" s="12">
        <f>'Data (Input)'!E16</f>
        <v>43555</v>
      </c>
      <c r="F3" s="12">
        <f>'Data (Input)'!F16</f>
        <v>43921</v>
      </c>
      <c r="G3" s="12">
        <f>'Data (Input)'!G16</f>
        <v>44286</v>
      </c>
      <c r="H3" s="12">
        <f>'Data (Input)'!H16</f>
        <v>44651</v>
      </c>
      <c r="I3" s="12">
        <f>'Data (Input)'!I16</f>
        <v>45016</v>
      </c>
      <c r="J3" s="12">
        <f>'Data (Input)'!J16</f>
        <v>45382</v>
      </c>
      <c r="K3" s="12">
        <f>'Data (Input)'!K16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45">
      <c r="A4" s="2" t="s">
        <v>6</v>
      </c>
      <c r="B4" s="1">
        <f>'Data (Input)'!B17</f>
        <v>62441</v>
      </c>
      <c r="C4" s="1">
        <f>'Data (Input)'!C17</f>
        <v>68484</v>
      </c>
      <c r="D4" s="1">
        <f>'Data (Input)'!D17</f>
        <v>70522</v>
      </c>
      <c r="E4" s="1">
        <f>'Data (Input)'!E17</f>
        <v>82675</v>
      </c>
      <c r="F4" s="1">
        <f>'Data (Input)'!F17</f>
        <v>90791</v>
      </c>
      <c r="G4" s="1">
        <f>'Data (Input)'!G17</f>
        <v>100472</v>
      </c>
      <c r="H4" s="1">
        <f>'Data (Input)'!H17</f>
        <v>121641</v>
      </c>
      <c r="I4" s="1">
        <f>'Data (Input)'!I17</f>
        <v>146767</v>
      </c>
      <c r="J4" s="1">
        <f>'Data (Input)'!J17</f>
        <v>153670</v>
      </c>
      <c r="K4" s="1">
        <f>'Data (Input)'!K17</f>
        <v>162990</v>
      </c>
      <c r="L4" s="1">
        <f>SUM('Quarters (Input)'!H4:K4)</f>
        <v>173173</v>
      </c>
      <c r="M4" s="1">
        <f>$K4+M23*K4</f>
        <v>179688.91475688305</v>
      </c>
      <c r="N4" s="1">
        <f>$K4+N23*L4</f>
        <v>173809.19540462605</v>
      </c>
    </row>
    <row r="5" spans="1:14" x14ac:dyDescent="0.45">
      <c r="A5" t="s">
        <v>7</v>
      </c>
      <c r="B5" s="6">
        <f>SUM('Data (Input)'!B18,'Data (Input)'!B20:B24, -1*'Data (Input)'!B19)</f>
        <v>45362</v>
      </c>
      <c r="C5" s="6">
        <f>SUM('Data (Input)'!C18,'Data (Input)'!C20:C24, -1*'Data (Input)'!C19)</f>
        <v>49880</v>
      </c>
      <c r="D5" s="6">
        <f>SUM('Data (Input)'!D18,'Data (Input)'!D20:D24, -1*'Data (Input)'!D19)</f>
        <v>51700</v>
      </c>
      <c r="E5" s="6">
        <f>SUM('Data (Input)'!E18,'Data (Input)'!E20:E24, -1*'Data (Input)'!E19)</f>
        <v>62505</v>
      </c>
      <c r="F5" s="6">
        <f>SUM('Data (Input)'!F18,'Data (Input)'!F20:F24, -1*'Data (Input)'!F19)</f>
        <v>68524</v>
      </c>
      <c r="G5" s="6">
        <f>SUM('Data (Input)'!G18,'Data (Input)'!G20:G24, -1*'Data (Input)'!G19)</f>
        <v>72583</v>
      </c>
      <c r="H5" s="6">
        <f>SUM('Data (Input)'!H18,'Data (Input)'!H20:H24, -1*'Data (Input)'!H19)</f>
        <v>90150</v>
      </c>
      <c r="I5" s="6">
        <f>SUM('Data (Input)'!I18,'Data (Input)'!I20:I24, -1*'Data (Input)'!I19)</f>
        <v>111637</v>
      </c>
      <c r="J5" s="6">
        <f>SUM('Data (Input)'!J18,'Data (Input)'!J20:J24, -1*'Data (Input)'!J19)</f>
        <v>117245</v>
      </c>
      <c r="K5" s="6">
        <f>SUM('Data (Input)'!K18,'Data (Input)'!K20:K24, -1*'Data (Input)'!K19)</f>
        <v>123754</v>
      </c>
      <c r="L5" s="6">
        <f>SUM('Quarters (Input)'!H5:K5)</f>
        <v>132187</v>
      </c>
      <c r="M5" s="6">
        <f t="shared" ref="M5:N5" si="0">M4-M6</f>
        <v>136730.87701883621</v>
      </c>
      <c r="N5" s="6">
        <f t="shared" si="0"/>
        <v>132672.62282775782</v>
      </c>
    </row>
    <row r="6" spans="1:14" s="2" customFormat="1" x14ac:dyDescent="0.45">
      <c r="A6" s="2" t="s">
        <v>8</v>
      </c>
      <c r="B6" s="1">
        <f>B4-B5</f>
        <v>17079</v>
      </c>
      <c r="C6" s="1">
        <f t="shared" ref="C6:K6" si="1">C4-C5</f>
        <v>18604</v>
      </c>
      <c r="D6" s="1">
        <f t="shared" si="1"/>
        <v>18822</v>
      </c>
      <c r="E6" s="1">
        <f t="shared" si="1"/>
        <v>20170</v>
      </c>
      <c r="F6" s="1">
        <f t="shared" si="1"/>
        <v>22267</v>
      </c>
      <c r="G6" s="1">
        <f t="shared" si="1"/>
        <v>27889</v>
      </c>
      <c r="H6" s="1">
        <f t="shared" si="1"/>
        <v>31491</v>
      </c>
      <c r="I6" s="1">
        <f t="shared" si="1"/>
        <v>35130</v>
      </c>
      <c r="J6" s="1">
        <f t="shared" si="1"/>
        <v>36425</v>
      </c>
      <c r="K6" s="1">
        <f t="shared" si="1"/>
        <v>39236</v>
      </c>
      <c r="L6" s="1">
        <f>SUM('Quarters (Input)'!H6:K6)</f>
        <v>40986</v>
      </c>
      <c r="M6" s="1">
        <f>M4*M24</f>
        <v>42958.037738046834</v>
      </c>
      <c r="N6" s="1">
        <f>N4*N24</f>
        <v>41136.572576868239</v>
      </c>
    </row>
    <row r="7" spans="1:14" x14ac:dyDescent="0.45">
      <c r="A7" t="s">
        <v>9</v>
      </c>
      <c r="B7" s="6">
        <f>'Data (Input)'!B25</f>
        <v>3120</v>
      </c>
      <c r="C7" s="6">
        <f>'Data (Input)'!C25</f>
        <v>3050</v>
      </c>
      <c r="D7" s="6">
        <f>'Data (Input)'!D25</f>
        <v>3311</v>
      </c>
      <c r="E7" s="6">
        <f>'Data (Input)'!E25</f>
        <v>2882</v>
      </c>
      <c r="F7" s="6">
        <f>'Data (Input)'!F25</f>
        <v>2803</v>
      </c>
      <c r="G7" s="6">
        <f>'Data (Input)'!G25</f>
        <v>2201</v>
      </c>
      <c r="H7" s="6">
        <f>'Data (Input)'!H25</f>
        <v>2295</v>
      </c>
      <c r="I7" s="6">
        <f>'Data (Input)'!I25</f>
        <v>2701</v>
      </c>
      <c r="J7" s="6">
        <f>'Data (Input)'!J25</f>
        <v>4711</v>
      </c>
      <c r="K7" s="6">
        <f>'Data (Input)'!K25</f>
        <v>3600</v>
      </c>
      <c r="L7" s="6">
        <f>SUM('Quarters (Input)'!H7:K7)</f>
        <v>3064</v>
      </c>
      <c r="M7" s="6">
        <v>0</v>
      </c>
      <c r="N7" s="6">
        <v>0</v>
      </c>
    </row>
    <row r="8" spans="1:14" x14ac:dyDescent="0.45">
      <c r="A8" t="s">
        <v>10</v>
      </c>
      <c r="B8" s="6">
        <f>'Data (Input)'!B26</f>
        <v>1459</v>
      </c>
      <c r="C8" s="6">
        <f>'Data (Input)'!C26</f>
        <v>1703</v>
      </c>
      <c r="D8" s="6">
        <f>'Data (Input)'!D26</f>
        <v>1863</v>
      </c>
      <c r="E8" s="6">
        <f>'Data (Input)'!E26</f>
        <v>2011</v>
      </c>
      <c r="F8" s="6">
        <f>'Data (Input)'!F26</f>
        <v>2893</v>
      </c>
      <c r="G8" s="6">
        <f>'Data (Input)'!G26</f>
        <v>3267</v>
      </c>
      <c r="H8" s="6">
        <f>'Data (Input)'!H26</f>
        <v>3476</v>
      </c>
      <c r="I8" s="6">
        <f>'Data (Input)'!I26</f>
        <v>4225</v>
      </c>
      <c r="J8" s="6">
        <f>'Data (Input)'!J26</f>
        <v>4678</v>
      </c>
      <c r="K8" s="6">
        <f>'Data (Input)'!K26</f>
        <v>4812</v>
      </c>
      <c r="L8" s="6">
        <f>SUM('Quarters (Input)'!H8:K8)</f>
        <v>4776</v>
      </c>
      <c r="M8" s="6">
        <f>+$L8</f>
        <v>4776</v>
      </c>
      <c r="N8" s="6">
        <f>+$L8</f>
        <v>4776</v>
      </c>
    </row>
    <row r="9" spans="1:14" x14ac:dyDescent="0.45">
      <c r="A9" t="s">
        <v>11</v>
      </c>
      <c r="B9" s="6">
        <f>'Data (Input)'!B27</f>
        <v>0</v>
      </c>
      <c r="C9" s="6">
        <f>'Data (Input)'!C27</f>
        <v>0</v>
      </c>
      <c r="D9" s="6">
        <f>'Data (Input)'!D27</f>
        <v>0</v>
      </c>
      <c r="E9" s="6">
        <f>'Data (Input)'!E27</f>
        <v>0</v>
      </c>
      <c r="F9" s="6">
        <f>'Data (Input)'!F27</f>
        <v>170</v>
      </c>
      <c r="G9" s="6">
        <f>'Data (Input)'!G27</f>
        <v>195</v>
      </c>
      <c r="H9" s="6">
        <f>'Data (Input)'!H27</f>
        <v>200</v>
      </c>
      <c r="I9" s="6">
        <f>'Data (Input)'!I27</f>
        <v>284</v>
      </c>
      <c r="J9" s="6">
        <f>'Data (Input)'!J27</f>
        <v>470</v>
      </c>
      <c r="K9" s="6">
        <f>'Data (Input)'!K27</f>
        <v>416</v>
      </c>
      <c r="L9" s="6">
        <f>SUM('Quarters (Input)'!H9:K9)</f>
        <v>413</v>
      </c>
      <c r="M9" s="6">
        <f>+$L9</f>
        <v>413</v>
      </c>
      <c r="N9" s="6">
        <f>+$L9</f>
        <v>413</v>
      </c>
    </row>
    <row r="10" spans="1:14" x14ac:dyDescent="0.45">
      <c r="A10" t="s">
        <v>12</v>
      </c>
      <c r="B10" s="6">
        <f>'Data (Input)'!B28</f>
        <v>18740</v>
      </c>
      <c r="C10" s="6">
        <f>'Data (Input)'!C28</f>
        <v>19951</v>
      </c>
      <c r="D10" s="6">
        <f>'Data (Input)'!D28</f>
        <v>20270</v>
      </c>
      <c r="E10" s="6">
        <f>'Data (Input)'!E28</f>
        <v>21041</v>
      </c>
      <c r="F10" s="6">
        <f>'Data (Input)'!F28</f>
        <v>22007</v>
      </c>
      <c r="G10" s="6">
        <f>'Data (Input)'!G28</f>
        <v>26628</v>
      </c>
      <c r="H10" s="6">
        <f>'Data (Input)'!H28</f>
        <v>30110</v>
      </c>
      <c r="I10" s="6">
        <f>'Data (Input)'!I28</f>
        <v>33322</v>
      </c>
      <c r="J10" s="6">
        <f>'Data (Input)'!J28</f>
        <v>35988</v>
      </c>
      <c r="K10" s="6">
        <f>'Data (Input)'!K28</f>
        <v>37608</v>
      </c>
      <c r="L10" s="6">
        <f>SUM('Quarters (Input)'!H10:K10)</f>
        <v>38861</v>
      </c>
      <c r="M10" s="6">
        <f>M6+M7-SUM(M8:M9)</f>
        <v>37769.037738046834</v>
      </c>
      <c r="N10" s="6">
        <f>N6+N7-SUM(N8:N9)</f>
        <v>35947.572576868239</v>
      </c>
    </row>
    <row r="11" spans="1:14" x14ac:dyDescent="0.45">
      <c r="A11" t="s">
        <v>13</v>
      </c>
      <c r="B11" s="6">
        <f>'Data (Input)'!B29</f>
        <v>5251</v>
      </c>
      <c r="C11" s="6">
        <f>'Data (Input)'!C29</f>
        <v>5598</v>
      </c>
      <c r="D11" s="6">
        <f>'Data (Input)'!D29</f>
        <v>4241</v>
      </c>
      <c r="E11" s="6">
        <f>'Data (Input)'!E29</f>
        <v>5631</v>
      </c>
      <c r="F11" s="6">
        <f>'Data (Input)'!F29</f>
        <v>5368</v>
      </c>
      <c r="G11" s="6">
        <f>'Data (Input)'!G29</f>
        <v>7205</v>
      </c>
      <c r="H11" s="6">
        <f>'Data (Input)'!H29</f>
        <v>7964</v>
      </c>
      <c r="I11" s="6">
        <f>'Data (Input)'!I29</f>
        <v>9214</v>
      </c>
      <c r="J11" s="6">
        <f>'Data (Input)'!J29</f>
        <v>9740</v>
      </c>
      <c r="K11" s="6">
        <f>'Data (Input)'!K29</f>
        <v>10858</v>
      </c>
      <c r="L11" s="6">
        <f>SUM('Quarters (Input)'!H11:K11)</f>
        <v>10858</v>
      </c>
      <c r="M11" s="7">
        <f>IF($L10&gt;0,$L11/$L10,0)</f>
        <v>0.27940608836622838</v>
      </c>
      <c r="N11" s="7">
        <f>IF($L10&gt;0,$L11/$L10,0)</f>
        <v>0.27940608836622838</v>
      </c>
    </row>
    <row r="12" spans="1:14" s="2" customFormat="1" x14ac:dyDescent="0.45">
      <c r="A12" s="2" t="s">
        <v>14</v>
      </c>
      <c r="B12" s="1">
        <f>'Data (Input)'!B30</f>
        <v>13489</v>
      </c>
      <c r="C12" s="1">
        <f>'Data (Input)'!C30</f>
        <v>14353</v>
      </c>
      <c r="D12" s="1">
        <f>'Data (Input)'!D30</f>
        <v>16029</v>
      </c>
      <c r="E12" s="1">
        <f>'Data (Input)'!E30</f>
        <v>15404</v>
      </c>
      <c r="F12" s="1">
        <f>'Data (Input)'!F30</f>
        <v>16594</v>
      </c>
      <c r="G12" s="1">
        <f>'Data (Input)'!G30</f>
        <v>19351</v>
      </c>
      <c r="H12" s="1">
        <f>'Data (Input)'!H30</f>
        <v>22110</v>
      </c>
      <c r="I12" s="1">
        <f>'Data (Input)'!I30</f>
        <v>24095</v>
      </c>
      <c r="J12" s="1">
        <f>'Data (Input)'!J30</f>
        <v>26233</v>
      </c>
      <c r="K12" s="1">
        <f>'Data (Input)'!K30</f>
        <v>26713</v>
      </c>
      <c r="L12" s="1">
        <f>SUM('Quarters (Input)'!H12:K12)</f>
        <v>27972</v>
      </c>
      <c r="M12" s="1">
        <f>M10-M11*M10</f>
        <v>27216.138642302707</v>
      </c>
      <c r="N12" s="1">
        <f>N10-N11*N10</f>
        <v>25903.601936904386</v>
      </c>
    </row>
    <row r="13" spans="1:14" x14ac:dyDescent="0.45">
      <c r="A13" t="s">
        <v>48</v>
      </c>
      <c r="B13" s="6">
        <f>IF('Data (Input)'!B93&gt;0,B12/'Data (Input)'!B93,0)</f>
        <v>29.362850736846688</v>
      </c>
      <c r="C13" s="6">
        <f>IF('Data (Input)'!C93&gt;0,C12/'Data (Input)'!C93,0)</f>
        <v>31.243605650971944</v>
      </c>
      <c r="D13" s="6">
        <f>IF('Data (Input)'!D93&gt;0,D12/'Data (Input)'!D93,0)</f>
        <v>36.694748408955633</v>
      </c>
      <c r="E13" s="6">
        <f>IF('Data (Input)'!E93&gt;0,E12/'Data (Input)'!E93,0)</f>
        <v>35.258303005333154</v>
      </c>
      <c r="F13" s="6">
        <f>IF('Data (Input)'!F93&gt;0,F12/'Data (Input)'!F93,0)</f>
        <v>38.962197698990373</v>
      </c>
      <c r="G13" s="6">
        <f>IF('Data (Input)'!G93&gt;0,G12/'Data (Input)'!G93,0)</f>
        <v>45.417419672823712</v>
      </c>
      <c r="H13" s="6">
        <f>IF('Data (Input)'!H93&gt;0,H12/'Data (Input)'!H93,0)</f>
        <v>52.559013003066532</v>
      </c>
      <c r="I13" s="6">
        <f>IF('Data (Input)'!I93&gt;0,I12/'Data (Input)'!I93,0)</f>
        <v>58.079834160921756</v>
      </c>
      <c r="J13" s="6">
        <f>IF('Data (Input)'!J93&gt;0,J12/'Data (Input)'!J93,0)</f>
        <v>63.198342528126432</v>
      </c>
      <c r="K13" s="6">
        <f>IF('Data (Input)'!K93&gt;0,K12/'Data (Input)'!K93,0)</f>
        <v>64.317530638287636</v>
      </c>
      <c r="L13" s="6">
        <f>IF('Data (Input)'!$B6&gt;0,'Profit &amp; Loss (Input)'!L12/'Data (Input)'!$B6,0)</f>
        <v>68.987036337289382</v>
      </c>
      <c r="M13" s="6">
        <f>IF('Data (Input)'!$B6&gt;0,'Profit &amp; Loss (Input)'!M12/'Data (Input)'!$B6,0)</f>
        <v>67.122863773675192</v>
      </c>
      <c r="N13" s="6">
        <f>IF('Data (Input)'!$B6&gt;0,'Profit &amp; Loss (Input)'!N12/'Data (Input)'!$B6,0)</f>
        <v>63.885768914911431</v>
      </c>
    </row>
    <row r="14" spans="1:14" x14ac:dyDescent="0.45">
      <c r="A14" t="s">
        <v>16</v>
      </c>
      <c r="B14" s="6">
        <f>IF(B15&gt;0,B15/B13,"")</f>
        <v>20.745601490103045</v>
      </c>
      <c r="C14" s="6">
        <f t="shared" ref="C14:K14" si="2">IF(C15&gt;0,C15/C13,"")</f>
        <v>16.359507468821846</v>
      </c>
      <c r="D14" s="6">
        <f t="shared" si="2"/>
        <v>15.421825316613639</v>
      </c>
      <c r="E14" s="6">
        <f t="shared" si="2"/>
        <v>21.097158303038171</v>
      </c>
      <c r="F14" s="6">
        <f t="shared" si="2"/>
        <v>16.464676991683742</v>
      </c>
      <c r="G14" s="6">
        <f t="shared" si="2"/>
        <v>30.121702418479664</v>
      </c>
      <c r="H14" s="6">
        <f t="shared" si="2"/>
        <v>36.280171393034827</v>
      </c>
      <c r="I14" s="6">
        <f t="shared" si="2"/>
        <v>24.585986179705333</v>
      </c>
      <c r="J14" s="6">
        <f t="shared" si="2"/>
        <v>23.703944440208897</v>
      </c>
      <c r="K14" s="6">
        <f t="shared" si="2"/>
        <v>24.420247239171935</v>
      </c>
      <c r="L14" s="6">
        <f t="shared" ref="L14" si="3">IF(L13&gt;0,L15/L13,0)</f>
        <v>23.787077792077792</v>
      </c>
      <c r="M14" s="6">
        <f>M25</f>
        <v>24.124313912790992</v>
      </c>
      <c r="N14" s="6">
        <f>N25</f>
        <v>22.998899912085353</v>
      </c>
    </row>
    <row r="15" spans="1:14" s="2" customFormat="1" x14ac:dyDescent="0.45">
      <c r="A15" s="2" t="s">
        <v>49</v>
      </c>
      <c r="B15" s="1">
        <f>'Data (Input)'!B90</f>
        <v>609.15</v>
      </c>
      <c r="C15" s="1">
        <f>'Data (Input)'!C90</f>
        <v>511.13</v>
      </c>
      <c r="D15" s="1">
        <f>'Data (Input)'!D90</f>
        <v>565.9</v>
      </c>
      <c r="E15" s="1">
        <f>'Data (Input)'!E90</f>
        <v>743.85</v>
      </c>
      <c r="F15" s="1">
        <f>'Data (Input)'!F90</f>
        <v>641.5</v>
      </c>
      <c r="G15" s="1">
        <f>'Data (Input)'!G90</f>
        <v>1368.05</v>
      </c>
      <c r="H15" s="1">
        <f>'Data (Input)'!H90</f>
        <v>1906.85</v>
      </c>
      <c r="I15" s="1">
        <f>'Data (Input)'!I90</f>
        <v>1427.95</v>
      </c>
      <c r="J15" s="1">
        <f>'Data (Input)'!J90</f>
        <v>1498.05</v>
      </c>
      <c r="K15" s="1">
        <f>'Data (Input)'!K90</f>
        <v>1570.65</v>
      </c>
      <c r="L15" s="1">
        <f>'Data (Input)'!B8</f>
        <v>1641</v>
      </c>
      <c r="M15" s="8">
        <f>M13*M14</f>
        <v>1619.293036401647</v>
      </c>
      <c r="N15" s="9">
        <f>N13*N14</f>
        <v>1469.3024050806616</v>
      </c>
    </row>
    <row r="17" spans="1:14" s="2" customFormat="1" x14ac:dyDescent="0.45">
      <c r="A17" s="2" t="s">
        <v>15</v>
      </c>
    </row>
    <row r="18" spans="1:14" x14ac:dyDescent="0.45">
      <c r="A18" t="s">
        <v>17</v>
      </c>
      <c r="B18" s="5">
        <f>IF('Data (Input)'!B30&gt;0, 'Data (Input)'!B31/'Data (Input)'!B30, 0)</f>
        <v>0.41132774853584397</v>
      </c>
      <c r="C18" s="5">
        <f>IF('Data (Input)'!C30&gt;0, 'Data (Input)'!C31/'Data (Input)'!C30, 0)</f>
        <v>0.4104786455793214</v>
      </c>
      <c r="D18" s="5">
        <f>IF('Data (Input)'!D30&gt;0, 'Data (Input)'!D31/'Data (Input)'!D30, 0)</f>
        <v>0.5905296649822197</v>
      </c>
      <c r="E18" s="5">
        <f>IF('Data (Input)'!E30&gt;0, 'Data (Input)'!E31/'Data (Input)'!E30, 0)</f>
        <v>0.5987081277590236</v>
      </c>
      <c r="F18" s="5">
        <f>IF('Data (Input)'!F30&gt;0, 'Data (Input)'!F31/'Data (Input)'!F30, 0)</f>
        <v>0.44757141135350126</v>
      </c>
      <c r="G18" s="5">
        <f>IF('Data (Input)'!G30&gt;0, 'Data (Input)'!G31/'Data (Input)'!G30, 0)</f>
        <v>0.59271355485504629</v>
      </c>
      <c r="H18" s="5">
        <f>IF('Data (Input)'!H30&gt;0, 'Data (Input)'!H31/'Data (Input)'!H30, 0)</f>
        <v>0.58831298055178649</v>
      </c>
      <c r="I18" s="5">
        <f>IF('Data (Input)'!I30&gt;0, 'Data (Input)'!I31/'Data (Input)'!I30, 0)</f>
        <v>0.58390537455903713</v>
      </c>
      <c r="J18" s="5">
        <f>IF('Data (Input)'!J30&gt;0, 'Data (Input)'!J31/'Data (Input)'!J30, 0)</f>
        <v>0.72630656043914155</v>
      </c>
      <c r="K18" s="5">
        <f>IF('Data (Input)'!K30&gt;0, 'Data (Input)'!K31/'Data (Input)'!K30, 0)</f>
        <v>0.66738292217272488</v>
      </c>
    </row>
    <row r="19" spans="1:14" x14ac:dyDescent="0.45">
      <c r="A19" t="s">
        <v>18</v>
      </c>
      <c r="B19" s="5">
        <f t="shared" ref="B19:L19" si="4">IF(B6&gt;0,B6/B4,0)</f>
        <v>0.27352220496148366</v>
      </c>
      <c r="C19" s="5">
        <f t="shared" ref="C19:K19" si="5">IF(C6&gt;0,C6/C4,0)</f>
        <v>0.27165469306699375</v>
      </c>
      <c r="D19" s="5">
        <f t="shared" si="5"/>
        <v>0.26689543688494372</v>
      </c>
      <c r="E19" s="5">
        <f t="shared" si="5"/>
        <v>0.24396734200181433</v>
      </c>
      <c r="F19" s="5">
        <f t="shared" si="5"/>
        <v>0.24525558700752279</v>
      </c>
      <c r="G19" s="5">
        <f t="shared" si="5"/>
        <v>0.27757982323433394</v>
      </c>
      <c r="H19" s="5">
        <f t="shared" si="5"/>
        <v>0.25888475102966929</v>
      </c>
      <c r="I19" s="5">
        <f t="shared" si="5"/>
        <v>0.23935898396778568</v>
      </c>
      <c r="J19" s="5">
        <f t="shared" si="5"/>
        <v>0.23703390381987374</v>
      </c>
      <c r="K19" s="5">
        <f t="shared" si="5"/>
        <v>0.24072642493404503</v>
      </c>
      <c r="L19" s="5">
        <f t="shared" si="4"/>
        <v>0.23667661817950836</v>
      </c>
    </row>
    <row r="20" spans="1:14" x14ac:dyDescent="0.4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4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45">
      <c r="A22" s="11"/>
      <c r="B22" s="12"/>
      <c r="C22" s="12"/>
      <c r="D22" s="12"/>
      <c r="E22" s="12"/>
      <c r="F22" s="12"/>
      <c r="G22" s="12" t="s">
        <v>19</v>
      </c>
      <c r="H22" s="12" t="s">
        <v>56</v>
      </c>
      <c r="I22" s="12" t="s">
        <v>57</v>
      </c>
      <c r="J22" s="12" t="s">
        <v>58</v>
      </c>
      <c r="K22" s="12" t="s">
        <v>59</v>
      </c>
      <c r="L22" s="13" t="s">
        <v>60</v>
      </c>
      <c r="M22" s="13" t="s">
        <v>20</v>
      </c>
      <c r="N22" s="13" t="s">
        <v>21</v>
      </c>
    </row>
    <row r="23" spans="1:14" s="2" customFormat="1" x14ac:dyDescent="0.45">
      <c r="A23"/>
      <c r="B23"/>
      <c r="C23"/>
      <c r="D23"/>
      <c r="E23"/>
      <c r="F23"/>
      <c r="G23" t="s">
        <v>22</v>
      </c>
      <c r="H23" s="5">
        <f>IF(B4=0,"",POWER($K4/B4,1/9)-1)</f>
        <v>0.11249741935076951</v>
      </c>
      <c r="I23" s="5">
        <f>IF(D4=0,"",POWER($K4/D4,1/7)-1)</f>
        <v>0.12713677553728409</v>
      </c>
      <c r="J23" s="5">
        <f>IF(F4=0,"",POWER($K4/F4,1/5)-1)</f>
        <v>0.12414836208210134</v>
      </c>
      <c r="K23" s="5">
        <f>IF(H4=0,"",POWER($K4/H4, 1/3)-1)</f>
        <v>0.10245361529469932</v>
      </c>
      <c r="L23" s="5">
        <f>IF(ISERROR(MAX(IF(J4=0,"",(K4-J4)/J4),IF(K4=0,"",(L4-K4)/K4))),"",MAX(IF(J4=0,"",(K4-J4)/J4),IF(K4=0,"",(L4-K4)/K4)))</f>
        <v>6.2476225535308912E-2</v>
      </c>
      <c r="M23" s="16">
        <f>MAX(K23:L23)</f>
        <v>0.10245361529469932</v>
      </c>
      <c r="N23" s="16">
        <f>MIN(H23:L23)</f>
        <v>6.2476225535308912E-2</v>
      </c>
    </row>
    <row r="24" spans="1:14" x14ac:dyDescent="0.45">
      <c r="G24" t="s">
        <v>18</v>
      </c>
      <c r="H24" s="5">
        <f>IF(SUM(B4:$K$4)=0,"",SUMPRODUCT(B19:$K$19,B4:$K$4)/SUM(B4:$K$4))</f>
        <v>0.25188575071219566</v>
      </c>
      <c r="I24" s="5">
        <f>IF(SUM(E4:$K$4)=0,"",SUMPRODUCT(E19:$K$19,E4:$K$4)/SUM(E4:$K$4))</f>
        <v>0.2475046740069336</v>
      </c>
      <c r="J24" s="5">
        <f>IF(SUM(G4:$K$4)=0,"",SUMPRODUCT(G19:$K$19,G4:$K$4)/SUM(G4:$K$4))</f>
        <v>0.24822913323803134</v>
      </c>
      <c r="K24" s="5">
        <f>IF(SUM(I4:$K$4)=0, "", SUMPRODUCT(I19:$K$19,I4:$K$4)/SUM(I4:$K$4))</f>
        <v>0.23906893642364385</v>
      </c>
      <c r="L24" s="5">
        <f>L19</f>
        <v>0.23667661817950836</v>
      </c>
      <c r="M24" s="16">
        <f>MAX(K24:L24)</f>
        <v>0.23906893642364385</v>
      </c>
      <c r="N24" s="16">
        <f>MIN(H24:L24)</f>
        <v>0.23667661817950836</v>
      </c>
    </row>
    <row r="25" spans="1:14" x14ac:dyDescent="0.45">
      <c r="G25" t="s">
        <v>23</v>
      </c>
      <c r="H25" s="6">
        <f>IF(ISERROR(AVERAGEIF(B14:$L14,"&gt;0")),"",AVERAGEIF(B14:$L14,"&gt;0"))</f>
        <v>22.998899912085353</v>
      </c>
      <c r="I25" s="6">
        <f>IF(ISERROR(AVERAGEIF(E14:$L14,"&gt;0")),"",AVERAGEIF(E14:$L14,"&gt;0"))</f>
        <v>25.057620594675047</v>
      </c>
      <c r="J25" s="6">
        <f>IF(ISERROR(AVERAGEIF(G14:$L14,"&gt;0")),"",AVERAGEIF(G14:$L14,"&gt;0"))</f>
        <v>27.149854910446408</v>
      </c>
      <c r="K25" s="6">
        <f>IF(ISERROR(AVERAGEIF(I14:$L14,"&gt;0")),"",AVERAGEIF(I14:$L14,"&gt;0"))</f>
        <v>24.124313912790992</v>
      </c>
      <c r="L25" s="6">
        <f>L14</f>
        <v>23.787077792077792</v>
      </c>
      <c r="M25" s="1">
        <f>MAX(K25:L25)</f>
        <v>24.124313912790992</v>
      </c>
      <c r="N25" s="1">
        <f>MIN(H25:L25)</f>
        <v>22.998899912085353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theme="2" tint="-0.499984740745262"/>
    <pageSetUpPr fitToPage="1"/>
  </sheetPr>
  <dimension ref="A1:K22"/>
  <sheetViews>
    <sheetView zoomScale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7" sqref="B17"/>
    </sheetView>
  </sheetViews>
  <sheetFormatPr defaultColWidth="8.796875" defaultRowHeight="14.25" x14ac:dyDescent="0.45"/>
  <cols>
    <col min="1" max="1" width="20.6640625" customWidth="1"/>
    <col min="2" max="11" width="13.46484375" bestFit="1" customWidth="1"/>
  </cols>
  <sheetData>
    <row r="1" spans="1:11" s="2" customFormat="1" x14ac:dyDescent="0.45">
      <c r="A1" s="2" t="str">
        <f>'Profit &amp; Loss (Input)'!A1</f>
        <v>INFOSYS LTD</v>
      </c>
      <c r="E1" t="str">
        <f>UPDATE</f>
        <v/>
      </c>
      <c r="J1" s="2" t="s">
        <v>1</v>
      </c>
    </row>
    <row r="3" spans="1:11" s="2" customFormat="1" x14ac:dyDescent="0.45">
      <c r="A3" s="11" t="s">
        <v>2</v>
      </c>
      <c r="B3" s="12">
        <f>'Data (Input)'!B41</f>
        <v>45199</v>
      </c>
      <c r="C3" s="12">
        <f>'Data (Input)'!C41</f>
        <v>45291</v>
      </c>
      <c r="D3" s="12">
        <f>'Data (Input)'!D41</f>
        <v>45382</v>
      </c>
      <c r="E3" s="12">
        <f>'Data (Input)'!E41</f>
        <v>45473</v>
      </c>
      <c r="F3" s="12">
        <f>'Data (Input)'!F41</f>
        <v>45565</v>
      </c>
      <c r="G3" s="12">
        <f>'Data (Input)'!G41</f>
        <v>45657</v>
      </c>
      <c r="H3" s="12">
        <f>'Data (Input)'!H41</f>
        <v>45747</v>
      </c>
      <c r="I3" s="12">
        <f>'Data (Input)'!I41</f>
        <v>45838</v>
      </c>
      <c r="J3" s="12">
        <f>'Data (Input)'!J41</f>
        <v>45930</v>
      </c>
      <c r="K3" s="12">
        <f>'Data (Input)'!K41</f>
        <v>46022</v>
      </c>
    </row>
    <row r="4" spans="1:11" s="2" customFormat="1" x14ac:dyDescent="0.45">
      <c r="A4" s="2" t="s">
        <v>6</v>
      </c>
      <c r="B4" s="1">
        <f>'Data (Input)'!B42</f>
        <v>38994</v>
      </c>
      <c r="C4" s="1">
        <f>'Data (Input)'!C42</f>
        <v>38821</v>
      </c>
      <c r="D4" s="1">
        <f>'Data (Input)'!D42</f>
        <v>37923</v>
      </c>
      <c r="E4" s="1">
        <f>'Data (Input)'!E42</f>
        <v>39315</v>
      </c>
      <c r="F4" s="1">
        <f>'Data (Input)'!F42</f>
        <v>40986</v>
      </c>
      <c r="G4" s="1">
        <f>'Data (Input)'!G42</f>
        <v>41764</v>
      </c>
      <c r="H4" s="1">
        <f>'Data (Input)'!H42</f>
        <v>40925</v>
      </c>
      <c r="I4" s="1">
        <f>'Data (Input)'!I42</f>
        <v>42279</v>
      </c>
      <c r="J4" s="1">
        <f>'Data (Input)'!J42</f>
        <v>44490</v>
      </c>
      <c r="K4" s="1">
        <f>'Data (Input)'!K42</f>
        <v>45479</v>
      </c>
    </row>
    <row r="5" spans="1:11" x14ac:dyDescent="0.45">
      <c r="A5" t="s">
        <v>7</v>
      </c>
      <c r="B5" s="6">
        <f>'Data (Input)'!B43</f>
        <v>29554</v>
      </c>
      <c r="C5" s="6">
        <f>'Data (Input)'!C43</f>
        <v>29684</v>
      </c>
      <c r="D5" s="6">
        <f>'Data (Input)'!D43</f>
        <v>29139</v>
      </c>
      <c r="E5" s="6">
        <f>'Data (Input)'!E43</f>
        <v>29878</v>
      </c>
      <c r="F5" s="6">
        <f>'Data (Input)'!F43</f>
        <v>31177</v>
      </c>
      <c r="G5" s="6">
        <f>'Data (Input)'!G43</f>
        <v>31649</v>
      </c>
      <c r="H5" s="6">
        <f>'Data (Input)'!H43</f>
        <v>31051</v>
      </c>
      <c r="I5" s="6">
        <f>'Data (Input)'!I43</f>
        <v>32336</v>
      </c>
      <c r="J5" s="6">
        <f>'Data (Input)'!J43</f>
        <v>33955</v>
      </c>
      <c r="K5" s="6">
        <f>'Data (Input)'!K43</f>
        <v>34845</v>
      </c>
    </row>
    <row r="6" spans="1:11" s="2" customFormat="1" x14ac:dyDescent="0.45">
      <c r="A6" s="2" t="s">
        <v>8</v>
      </c>
      <c r="B6" s="1">
        <f>'Data (Input)'!B50</f>
        <v>9440</v>
      </c>
      <c r="C6" s="1">
        <f>'Data (Input)'!C50</f>
        <v>9137</v>
      </c>
      <c r="D6" s="1">
        <f>'Data (Input)'!D50</f>
        <v>8784</v>
      </c>
      <c r="E6" s="1">
        <f>'Data (Input)'!E50</f>
        <v>9437</v>
      </c>
      <c r="F6" s="1">
        <f>'Data (Input)'!F50</f>
        <v>9809</v>
      </c>
      <c r="G6" s="1">
        <f>'Data (Input)'!G50</f>
        <v>10115</v>
      </c>
      <c r="H6" s="1">
        <f>'Data (Input)'!H50</f>
        <v>9874</v>
      </c>
      <c r="I6" s="1">
        <f>'Data (Input)'!I50</f>
        <v>9943</v>
      </c>
      <c r="J6" s="1">
        <f>'Data (Input)'!J50</f>
        <v>10535</v>
      </c>
      <c r="K6" s="1">
        <f>'Data (Input)'!K50</f>
        <v>10634</v>
      </c>
    </row>
    <row r="7" spans="1:11" x14ac:dyDescent="0.45">
      <c r="A7" t="s">
        <v>9</v>
      </c>
      <c r="B7" s="6">
        <f>'Data (Input)'!B44</f>
        <v>632</v>
      </c>
      <c r="C7" s="6">
        <f>'Data (Input)'!C44</f>
        <v>789</v>
      </c>
      <c r="D7" s="6">
        <f>'Data (Input)'!D44</f>
        <v>2729</v>
      </c>
      <c r="E7" s="6">
        <f>'Data (Input)'!E44</f>
        <v>838</v>
      </c>
      <c r="F7" s="6">
        <f>'Data (Input)'!F44</f>
        <v>712</v>
      </c>
      <c r="G7" s="6">
        <f>'Data (Input)'!G44</f>
        <v>859</v>
      </c>
      <c r="H7" s="6">
        <f>'Data (Input)'!H44</f>
        <v>1190</v>
      </c>
      <c r="I7" s="6">
        <f>'Data (Input)'!I44</f>
        <v>1042</v>
      </c>
      <c r="J7" s="6">
        <f>'Data (Input)'!J44</f>
        <v>982</v>
      </c>
      <c r="K7" s="6">
        <f>'Data (Input)'!K44</f>
        <v>-150</v>
      </c>
    </row>
    <row r="8" spans="1:11" x14ac:dyDescent="0.45">
      <c r="A8" t="s">
        <v>10</v>
      </c>
      <c r="B8" s="6">
        <f>'Data (Input)'!B45</f>
        <v>1166</v>
      </c>
      <c r="C8" s="6">
        <f>'Data (Input)'!C45</f>
        <v>1176</v>
      </c>
      <c r="D8" s="6">
        <f>'Data (Input)'!D45</f>
        <v>1163</v>
      </c>
      <c r="E8" s="6">
        <f>'Data (Input)'!E45</f>
        <v>1149</v>
      </c>
      <c r="F8" s="6">
        <f>'Data (Input)'!F45</f>
        <v>1160</v>
      </c>
      <c r="G8" s="6">
        <f>'Data (Input)'!G45</f>
        <v>1203</v>
      </c>
      <c r="H8" s="6">
        <f>'Data (Input)'!H45</f>
        <v>1299</v>
      </c>
      <c r="I8" s="6">
        <f>'Data (Input)'!I45</f>
        <v>1140</v>
      </c>
      <c r="J8" s="6">
        <f>'Data (Input)'!J45</f>
        <v>1182</v>
      </c>
      <c r="K8" s="6">
        <f>'Data (Input)'!K45</f>
        <v>1155</v>
      </c>
    </row>
    <row r="9" spans="1:11" x14ac:dyDescent="0.45">
      <c r="A9" t="s">
        <v>11</v>
      </c>
      <c r="B9" s="6">
        <f>'Data (Input)'!B46</f>
        <v>138</v>
      </c>
      <c r="C9" s="6">
        <f>'Data (Input)'!C46</f>
        <v>131</v>
      </c>
      <c r="D9" s="6">
        <f>'Data (Input)'!D46</f>
        <v>110</v>
      </c>
      <c r="E9" s="6">
        <f>'Data (Input)'!E46</f>
        <v>105</v>
      </c>
      <c r="F9" s="6">
        <f>'Data (Input)'!F46</f>
        <v>108</v>
      </c>
      <c r="G9" s="6">
        <f>'Data (Input)'!G46</f>
        <v>101</v>
      </c>
      <c r="H9" s="6">
        <f>'Data (Input)'!H46</f>
        <v>102</v>
      </c>
      <c r="I9" s="6">
        <f>'Data (Input)'!I46</f>
        <v>105</v>
      </c>
      <c r="J9" s="6">
        <f>'Data (Input)'!J46</f>
        <v>106</v>
      </c>
      <c r="K9" s="6">
        <f>'Data (Input)'!K46</f>
        <v>100</v>
      </c>
    </row>
    <row r="10" spans="1:11" x14ac:dyDescent="0.45">
      <c r="A10" t="s">
        <v>12</v>
      </c>
      <c r="B10" s="6">
        <f>'Data (Input)'!B47</f>
        <v>8768</v>
      </c>
      <c r="C10" s="6">
        <f>'Data (Input)'!C47</f>
        <v>8619</v>
      </c>
      <c r="D10" s="6">
        <f>'Data (Input)'!D47</f>
        <v>10240</v>
      </c>
      <c r="E10" s="6">
        <f>'Data (Input)'!E47</f>
        <v>9021</v>
      </c>
      <c r="F10" s="6">
        <f>'Data (Input)'!F47</f>
        <v>9253</v>
      </c>
      <c r="G10" s="6">
        <f>'Data (Input)'!G47</f>
        <v>9670</v>
      </c>
      <c r="H10" s="6">
        <f>'Data (Input)'!H47</f>
        <v>9663</v>
      </c>
      <c r="I10" s="6">
        <f>'Data (Input)'!I47</f>
        <v>9740</v>
      </c>
      <c r="J10" s="6">
        <f>'Data (Input)'!J47</f>
        <v>10229</v>
      </c>
      <c r="K10" s="6">
        <f>'Data (Input)'!K47</f>
        <v>9229</v>
      </c>
    </row>
    <row r="11" spans="1:11" x14ac:dyDescent="0.45">
      <c r="A11" t="s">
        <v>13</v>
      </c>
      <c r="B11" s="6">
        <f>'Data (Input)'!B48</f>
        <v>2553</v>
      </c>
      <c r="C11" s="6">
        <f>'Data (Input)'!C48</f>
        <v>2506</v>
      </c>
      <c r="D11" s="6">
        <f>'Data (Input)'!D48</f>
        <v>2265</v>
      </c>
      <c r="E11" s="6">
        <f>'Data (Input)'!E48</f>
        <v>2647</v>
      </c>
      <c r="F11" s="6">
        <f>'Data (Input)'!F48</f>
        <v>2737</v>
      </c>
      <c r="G11" s="6">
        <f>'Data (Input)'!G48</f>
        <v>2848</v>
      </c>
      <c r="H11" s="6">
        <f>'Data (Input)'!H48</f>
        <v>2625</v>
      </c>
      <c r="I11" s="6">
        <f>'Data (Input)'!I48</f>
        <v>2816</v>
      </c>
      <c r="J11" s="6">
        <f>'Data (Input)'!J48</f>
        <v>2854</v>
      </c>
      <c r="K11" s="6">
        <f>'Data (Input)'!K48</f>
        <v>2563</v>
      </c>
    </row>
    <row r="12" spans="1:11" s="2" customFormat="1" x14ac:dyDescent="0.45">
      <c r="A12" s="2" t="s">
        <v>14</v>
      </c>
      <c r="B12" s="1">
        <f>'Data (Input)'!B49</f>
        <v>6212</v>
      </c>
      <c r="C12" s="1">
        <f>'Data (Input)'!C49</f>
        <v>6106</v>
      </c>
      <c r="D12" s="1">
        <f>'Data (Input)'!D49</f>
        <v>7969</v>
      </c>
      <c r="E12" s="1">
        <f>'Data (Input)'!E49</f>
        <v>6368</v>
      </c>
      <c r="F12" s="1">
        <f>'Data (Input)'!F49</f>
        <v>6506</v>
      </c>
      <c r="G12" s="1">
        <f>'Data (Input)'!G49</f>
        <v>6806</v>
      </c>
      <c r="H12" s="1">
        <f>'Data (Input)'!H49</f>
        <v>7033</v>
      </c>
      <c r="I12" s="1">
        <f>'Data (Input)'!I49</f>
        <v>6921</v>
      </c>
      <c r="J12" s="1">
        <f>'Data (Input)'!J49</f>
        <v>7364</v>
      </c>
      <c r="K12" s="1">
        <f>'Data (Input)'!K49</f>
        <v>6654</v>
      </c>
    </row>
    <row r="14" spans="1:11" s="2" customFormat="1" x14ac:dyDescent="0.45">
      <c r="A14" s="2" t="s">
        <v>18</v>
      </c>
      <c r="B14" s="10">
        <f>IF(B4&gt;0,B6/B4,"")</f>
        <v>0.24208852643996512</v>
      </c>
      <c r="C14" s="10">
        <f t="shared" ref="C14:K14" si="0">IF(C4&gt;0,C6/C4,"")</f>
        <v>0.23536230390767884</v>
      </c>
      <c r="D14" s="10">
        <f t="shared" si="0"/>
        <v>0.2316272446800095</v>
      </c>
      <c r="E14" s="10">
        <f t="shared" si="0"/>
        <v>0.24003560981813557</v>
      </c>
      <c r="F14" s="10">
        <f t="shared" si="0"/>
        <v>0.23932562338359439</v>
      </c>
      <c r="G14" s="10">
        <f t="shared" si="0"/>
        <v>0.2421942342687482</v>
      </c>
      <c r="H14" s="10">
        <f t="shared" si="0"/>
        <v>0.24127061698228466</v>
      </c>
      <c r="I14" s="10">
        <f t="shared" si="0"/>
        <v>0.23517585562572435</v>
      </c>
      <c r="J14" s="10">
        <f t="shared" si="0"/>
        <v>0.23679478534502135</v>
      </c>
      <c r="K14" s="10">
        <f t="shared" si="0"/>
        <v>0.2338222036544339</v>
      </c>
    </row>
    <row r="22" s="19" customFormat="1" x14ac:dyDescent="0.4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2" tint="-0.499984740745262"/>
    <pageSetUpPr fitToPage="1"/>
  </sheetPr>
  <dimension ref="A1:K24"/>
  <sheetViews>
    <sheetView zoomScale="150" zoomScaleNormal="150" zoomScalePageLayoutView="15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96875" defaultRowHeight="14.25" x14ac:dyDescent="0.45"/>
  <cols>
    <col min="1" max="1" width="26.796875" bestFit="1" customWidth="1"/>
    <col min="2" max="6" width="13.46484375" customWidth="1"/>
    <col min="7" max="11" width="13.46484375" bestFit="1" customWidth="1"/>
  </cols>
  <sheetData>
    <row r="1" spans="1:11" s="2" customFormat="1" x14ac:dyDescent="0.45">
      <c r="A1" s="2" t="str">
        <f>'Balance Sheet (Input)'!A1</f>
        <v>INFOSYS LTD</v>
      </c>
      <c r="E1" t="str">
        <f>UPDATE</f>
        <v/>
      </c>
      <c r="F1"/>
      <c r="J1" s="2" t="s">
        <v>1</v>
      </c>
    </row>
    <row r="3" spans="1:11" s="2" customFormat="1" x14ac:dyDescent="0.45">
      <c r="A3" s="11" t="s">
        <v>2</v>
      </c>
      <c r="B3" s="12">
        <f>'Data (Input)'!B81</f>
        <v>42460</v>
      </c>
      <c r="C3" s="12">
        <f>'Data (Input)'!C81</f>
        <v>42825</v>
      </c>
      <c r="D3" s="12">
        <f>'Data (Input)'!D81</f>
        <v>43190</v>
      </c>
      <c r="E3" s="12">
        <f>'Data (Input)'!E81</f>
        <v>43555</v>
      </c>
      <c r="F3" s="12">
        <f>'Data (Input)'!F81</f>
        <v>43921</v>
      </c>
      <c r="G3" s="12">
        <f>'Data (Input)'!G81</f>
        <v>44286</v>
      </c>
      <c r="H3" s="12">
        <f>'Data (Input)'!H81</f>
        <v>44651</v>
      </c>
      <c r="I3" s="12">
        <f>'Data (Input)'!I81</f>
        <v>45016</v>
      </c>
      <c r="J3" s="12">
        <f>'Data (Input)'!J81</f>
        <v>45382</v>
      </c>
      <c r="K3" s="12">
        <f>'Data (Input)'!K81</f>
        <v>45747</v>
      </c>
    </row>
    <row r="4" spans="1:11" s="2" customFormat="1" x14ac:dyDescent="0.45">
      <c r="A4" s="2" t="s">
        <v>32</v>
      </c>
      <c r="B4" s="1">
        <f>'Data (Input)'!B82</f>
        <v>10028</v>
      </c>
      <c r="C4" s="1">
        <f>'Data (Input)'!C82</f>
        <v>11531</v>
      </c>
      <c r="D4" s="1">
        <f>'Data (Input)'!D82</f>
        <v>13218</v>
      </c>
      <c r="E4" s="1">
        <f>'Data (Input)'!E82</f>
        <v>14841</v>
      </c>
      <c r="F4" s="1">
        <f>'Data (Input)'!F82</f>
        <v>17003</v>
      </c>
      <c r="G4" s="1">
        <f>'Data (Input)'!G82</f>
        <v>23224</v>
      </c>
      <c r="H4" s="1">
        <f>'Data (Input)'!H82</f>
        <v>23885</v>
      </c>
      <c r="I4" s="1">
        <f>'Data (Input)'!I82</f>
        <v>22467</v>
      </c>
      <c r="J4" s="1">
        <f>'Data (Input)'!J82</f>
        <v>25210</v>
      </c>
      <c r="K4" s="1">
        <f>'Data (Input)'!K82</f>
        <v>35694</v>
      </c>
    </row>
    <row r="5" spans="1:11" x14ac:dyDescent="0.45">
      <c r="A5" t="s">
        <v>33</v>
      </c>
      <c r="B5" s="6">
        <f>'Data (Input)'!B83</f>
        <v>-885</v>
      </c>
      <c r="C5" s="6">
        <f>'Data (Input)'!C83</f>
        <v>-14664</v>
      </c>
      <c r="D5" s="6">
        <f>'Data (Input)'!D83</f>
        <v>4533</v>
      </c>
      <c r="E5" s="6">
        <f>'Data (Input)'!E83</f>
        <v>-632</v>
      </c>
      <c r="F5" s="6">
        <f>'Data (Input)'!F83</f>
        <v>-331</v>
      </c>
      <c r="G5" s="6">
        <f>'Data (Input)'!G83</f>
        <v>-7373</v>
      </c>
      <c r="H5" s="6">
        <f>'Data (Input)'!H83</f>
        <v>-6485</v>
      </c>
      <c r="I5" s="6">
        <f>'Data (Input)'!I83</f>
        <v>-1071</v>
      </c>
      <c r="J5" s="6">
        <f>'Data (Input)'!J83</f>
        <v>-5093</v>
      </c>
      <c r="K5" s="6">
        <f>'Data (Input)'!K83</f>
        <v>-1864</v>
      </c>
    </row>
    <row r="6" spans="1:11" x14ac:dyDescent="0.45">
      <c r="A6" t="s">
        <v>34</v>
      </c>
      <c r="B6" s="6">
        <f>'Data (Input)'!B84</f>
        <v>-6813</v>
      </c>
      <c r="C6" s="6">
        <f>'Data (Input)'!C84</f>
        <v>-6939</v>
      </c>
      <c r="D6" s="6">
        <f>'Data (Input)'!D84</f>
        <v>-20505</v>
      </c>
      <c r="E6" s="6">
        <f>'Data (Input)'!E84</f>
        <v>-14512</v>
      </c>
      <c r="F6" s="6">
        <f>'Data (Input)'!F84</f>
        <v>-17591</v>
      </c>
      <c r="G6" s="6">
        <f>'Data (Input)'!G84</f>
        <v>-9786</v>
      </c>
      <c r="H6" s="6">
        <f>'Data (Input)'!H84</f>
        <v>-24642</v>
      </c>
      <c r="I6" s="6">
        <f>'Data (Input)'!I84</f>
        <v>-26695</v>
      </c>
      <c r="J6" s="6">
        <f>'Data (Input)'!J84</f>
        <v>-17504</v>
      </c>
      <c r="K6" s="6">
        <f>'Data (Input)'!K84</f>
        <v>-24161</v>
      </c>
    </row>
    <row r="7" spans="1:11" s="2" customFormat="1" x14ac:dyDescent="0.45">
      <c r="A7" s="2" t="s">
        <v>35</v>
      </c>
      <c r="B7" s="1">
        <f>'Data (Input)'!B85</f>
        <v>2330</v>
      </c>
      <c r="C7" s="1">
        <f>'Data (Input)'!C85</f>
        <v>-10072</v>
      </c>
      <c r="D7" s="1">
        <f>'Data (Input)'!D85</f>
        <v>-2754</v>
      </c>
      <c r="E7" s="1">
        <f>'Data (Input)'!E85</f>
        <v>-303</v>
      </c>
      <c r="F7" s="1">
        <f>'Data (Input)'!F85</f>
        <v>-919</v>
      </c>
      <c r="G7" s="1">
        <f>'Data (Input)'!G85</f>
        <v>6065</v>
      </c>
      <c r="H7" s="1">
        <f>'Data (Input)'!H85</f>
        <v>-7242</v>
      </c>
      <c r="I7" s="1">
        <f>'Data (Input)'!I85</f>
        <v>-5299</v>
      </c>
      <c r="J7" s="1">
        <f>'Data (Input)'!J85</f>
        <v>2613</v>
      </c>
      <c r="K7" s="1">
        <f>'Data (Input)'!K85</f>
        <v>9669</v>
      </c>
    </row>
    <row r="8" spans="1:11" x14ac:dyDescent="0.45">
      <c r="B8" s="6"/>
      <c r="C8" s="6"/>
      <c r="D8" s="6"/>
      <c r="E8" s="6"/>
      <c r="F8" s="6"/>
      <c r="G8" s="6"/>
      <c r="H8" s="6"/>
      <c r="I8" s="6"/>
      <c r="J8" s="6"/>
      <c r="K8" s="6"/>
    </row>
    <row r="24" customFormat="1" x14ac:dyDescent="0.45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0.499984740745262"/>
  </sheetPr>
  <dimension ref="A1:L93"/>
  <sheetViews>
    <sheetView zoomScale="103" zoomScaleNormal="120" zoomScalePageLayoutView="120" workbookViewId="0">
      <pane xSplit="1" ySplit="1" topLeftCell="B53" activePane="bottomRight" state="frozen"/>
      <selection activeCell="C4" sqref="C4"/>
      <selection pane="topRight" activeCell="C4" sqref="C4"/>
      <selection pane="bottomLeft" activeCell="C4" sqref="C4"/>
      <selection pane="bottomRight" activeCell="C78" sqref="C78"/>
    </sheetView>
  </sheetViews>
  <sheetFormatPr defaultColWidth="8.796875" defaultRowHeight="14.25" x14ac:dyDescent="0.45"/>
  <cols>
    <col min="1" max="1" width="27.6640625" style="4" bestFit="1" customWidth="1"/>
    <col min="2" max="11" width="13.46484375" style="4" bestFit="1" customWidth="1"/>
    <col min="12" max="12" width="11.06640625" style="4" bestFit="1" customWidth="1"/>
    <col min="13" max="16384" width="8.796875" style="4"/>
  </cols>
  <sheetData>
    <row r="1" spans="1:11" s="1" customFormat="1" x14ac:dyDescent="0.45">
      <c r="A1" s="1" t="s">
        <v>0</v>
      </c>
      <c r="B1" s="1" t="s">
        <v>54</v>
      </c>
      <c r="E1" s="117" t="str">
        <f>IF(B2&lt;&gt;B3, "A NEW VERSION OF THE WORKSHEET IS AVAILABLE", "")</f>
        <v/>
      </c>
      <c r="F1" s="117"/>
      <c r="G1" s="117"/>
      <c r="H1" s="117"/>
      <c r="I1" s="117"/>
      <c r="J1" s="117"/>
      <c r="K1" s="117"/>
    </row>
    <row r="2" spans="1:11" x14ac:dyDescent="0.45">
      <c r="A2" s="1" t="s">
        <v>52</v>
      </c>
      <c r="B2" s="4">
        <v>2.1</v>
      </c>
      <c r="E2" s="118" t="s">
        <v>36</v>
      </c>
      <c r="F2" s="118"/>
      <c r="G2" s="118"/>
      <c r="H2" s="118"/>
      <c r="I2" s="118"/>
      <c r="J2" s="118"/>
      <c r="K2" s="118"/>
    </row>
    <row r="3" spans="1:11" x14ac:dyDescent="0.45">
      <c r="A3" s="1" t="s">
        <v>53</v>
      </c>
      <c r="B3" s="4">
        <v>2.1</v>
      </c>
    </row>
    <row r="4" spans="1:11" x14ac:dyDescent="0.45">
      <c r="A4" s="1"/>
    </row>
    <row r="5" spans="1:11" x14ac:dyDescent="0.45">
      <c r="A5" s="1" t="s">
        <v>55</v>
      </c>
    </row>
    <row r="6" spans="1:11" x14ac:dyDescent="0.45">
      <c r="A6" s="4" t="s">
        <v>42</v>
      </c>
      <c r="B6" s="4">
        <f>IF(B9&gt;0, B9/B8, 0)</f>
        <v>405.46748324192566</v>
      </c>
    </row>
    <row r="7" spans="1:11" x14ac:dyDescent="0.45">
      <c r="A7" s="4" t="s">
        <v>31</v>
      </c>
      <c r="B7">
        <v>5</v>
      </c>
    </row>
    <row r="8" spans="1:11" x14ac:dyDescent="0.45">
      <c r="A8" s="4" t="s">
        <v>43</v>
      </c>
      <c r="B8">
        <v>1641</v>
      </c>
    </row>
    <row r="9" spans="1:11" x14ac:dyDescent="0.45">
      <c r="A9" s="4" t="s">
        <v>70</v>
      </c>
      <c r="B9">
        <v>665372.14</v>
      </c>
    </row>
    <row r="15" spans="1:11" x14ac:dyDescent="0.45">
      <c r="A15" s="1" t="s">
        <v>37</v>
      </c>
    </row>
    <row r="16" spans="1:11" s="18" customFormat="1" x14ac:dyDescent="0.45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45">
      <c r="A17" s="6" t="s">
        <v>6</v>
      </c>
      <c r="B17">
        <v>62441</v>
      </c>
      <c r="C17">
        <v>68484</v>
      </c>
      <c r="D17">
        <v>70522</v>
      </c>
      <c r="E17">
        <v>82675</v>
      </c>
      <c r="F17">
        <v>90791</v>
      </c>
      <c r="G17">
        <v>100472</v>
      </c>
      <c r="H17">
        <v>121641</v>
      </c>
      <c r="I17">
        <v>146767</v>
      </c>
      <c r="J17">
        <v>153670</v>
      </c>
      <c r="K17">
        <v>162990</v>
      </c>
    </row>
    <row r="18" spans="1:11" s="6" customFormat="1" x14ac:dyDescent="0.45">
      <c r="A18" s="4" t="s">
        <v>71</v>
      </c>
    </row>
    <row r="19" spans="1:11" s="6" customFormat="1" x14ac:dyDescent="0.45">
      <c r="A19" s="4" t="s">
        <v>72</v>
      </c>
    </row>
    <row r="20" spans="1:11" s="6" customFormat="1" x14ac:dyDescent="0.45">
      <c r="A20" s="4" t="s">
        <v>73</v>
      </c>
      <c r="B20">
        <v>217</v>
      </c>
      <c r="C20">
        <v>228</v>
      </c>
      <c r="D20">
        <v>207</v>
      </c>
      <c r="E20">
        <v>221</v>
      </c>
      <c r="F20">
        <v>229</v>
      </c>
      <c r="G20">
        <v>143</v>
      </c>
      <c r="H20">
        <v>132</v>
      </c>
      <c r="I20">
        <v>176</v>
      </c>
      <c r="J20">
        <v>199</v>
      </c>
      <c r="K20">
        <v>222</v>
      </c>
    </row>
    <row r="21" spans="1:11" s="6" customFormat="1" x14ac:dyDescent="0.45">
      <c r="A21" s="4" t="s">
        <v>74</v>
      </c>
      <c r="B21">
        <v>5860</v>
      </c>
      <c r="C21">
        <v>6712</v>
      </c>
      <c r="D21">
        <v>7286</v>
      </c>
      <c r="E21">
        <v>9902</v>
      </c>
      <c r="F21">
        <v>11086</v>
      </c>
      <c r="G21">
        <v>12800</v>
      </c>
      <c r="H21">
        <v>20690</v>
      </c>
      <c r="I21">
        <v>26330</v>
      </c>
      <c r="J21">
        <v>27195</v>
      </c>
      <c r="K21">
        <v>30395</v>
      </c>
    </row>
    <row r="22" spans="1:11" s="6" customFormat="1" x14ac:dyDescent="0.45">
      <c r="A22" s="4" t="s">
        <v>75</v>
      </c>
      <c r="B22">
        <v>34415</v>
      </c>
      <c r="C22">
        <v>37669</v>
      </c>
      <c r="D22">
        <v>38902</v>
      </c>
      <c r="E22">
        <v>45323</v>
      </c>
      <c r="F22">
        <v>50895</v>
      </c>
      <c r="G22">
        <v>55547</v>
      </c>
      <c r="H22">
        <v>63997</v>
      </c>
      <c r="I22">
        <v>78374</v>
      </c>
      <c r="J22">
        <v>82636</v>
      </c>
      <c r="K22">
        <v>85968</v>
      </c>
    </row>
    <row r="23" spans="1:11" s="6" customFormat="1" x14ac:dyDescent="0.45">
      <c r="A23" s="4" t="s">
        <v>76</v>
      </c>
      <c r="B23">
        <v>4441</v>
      </c>
      <c r="C23">
        <v>4584</v>
      </c>
      <c r="D23">
        <v>4585</v>
      </c>
      <c r="E23">
        <v>5553</v>
      </c>
      <c r="F23">
        <v>5375</v>
      </c>
      <c r="G23">
        <v>3194</v>
      </c>
      <c r="H23">
        <v>4305</v>
      </c>
      <c r="I23">
        <v>5300</v>
      </c>
      <c r="J23">
        <v>5705</v>
      </c>
      <c r="K23">
        <v>6039</v>
      </c>
    </row>
    <row r="24" spans="1:11" s="6" customFormat="1" x14ac:dyDescent="0.45">
      <c r="A24" s="4" t="s">
        <v>77</v>
      </c>
      <c r="B24">
        <v>429</v>
      </c>
      <c r="C24">
        <v>687</v>
      </c>
      <c r="D24">
        <v>720</v>
      </c>
      <c r="E24">
        <v>1506</v>
      </c>
      <c r="F24">
        <v>939</v>
      </c>
      <c r="G24">
        <v>899</v>
      </c>
      <c r="H24">
        <v>1026</v>
      </c>
      <c r="I24">
        <v>1457</v>
      </c>
      <c r="J24">
        <v>1510</v>
      </c>
      <c r="K24">
        <v>1130</v>
      </c>
    </row>
    <row r="25" spans="1:11" s="6" customFormat="1" x14ac:dyDescent="0.45">
      <c r="A25" s="6" t="s">
        <v>9</v>
      </c>
      <c r="B25">
        <v>3120</v>
      </c>
      <c r="C25">
        <v>3050</v>
      </c>
      <c r="D25">
        <v>3311</v>
      </c>
      <c r="E25">
        <v>2882</v>
      </c>
      <c r="F25">
        <v>2803</v>
      </c>
      <c r="G25">
        <v>2201</v>
      </c>
      <c r="H25">
        <v>2295</v>
      </c>
      <c r="I25">
        <v>2701</v>
      </c>
      <c r="J25">
        <v>4711</v>
      </c>
      <c r="K25">
        <v>3600</v>
      </c>
    </row>
    <row r="26" spans="1:11" s="6" customFormat="1" x14ac:dyDescent="0.45">
      <c r="A26" s="6" t="s">
        <v>10</v>
      </c>
      <c r="B26">
        <v>1459</v>
      </c>
      <c r="C26">
        <v>1703</v>
      </c>
      <c r="D26">
        <v>1863</v>
      </c>
      <c r="E26">
        <v>2011</v>
      </c>
      <c r="F26">
        <v>2893</v>
      </c>
      <c r="G26">
        <v>3267</v>
      </c>
      <c r="H26">
        <v>3476</v>
      </c>
      <c r="I26">
        <v>4225</v>
      </c>
      <c r="J26">
        <v>4678</v>
      </c>
      <c r="K26">
        <v>4812</v>
      </c>
    </row>
    <row r="27" spans="1:11" s="6" customFormat="1" x14ac:dyDescent="0.45">
      <c r="A27" s="6" t="s">
        <v>11</v>
      </c>
      <c r="F27">
        <v>170</v>
      </c>
      <c r="G27">
        <v>195</v>
      </c>
      <c r="H27">
        <v>200</v>
      </c>
      <c r="I27">
        <v>284</v>
      </c>
      <c r="J27">
        <v>470</v>
      </c>
      <c r="K27">
        <v>416</v>
      </c>
    </row>
    <row r="28" spans="1:11" s="6" customFormat="1" x14ac:dyDescent="0.45">
      <c r="A28" s="6" t="s">
        <v>12</v>
      </c>
      <c r="B28">
        <v>18740</v>
      </c>
      <c r="C28">
        <v>19951</v>
      </c>
      <c r="D28">
        <v>20270</v>
      </c>
      <c r="E28">
        <v>21041</v>
      </c>
      <c r="F28">
        <v>22007</v>
      </c>
      <c r="G28">
        <v>26628</v>
      </c>
      <c r="H28">
        <v>30110</v>
      </c>
      <c r="I28">
        <v>33322</v>
      </c>
      <c r="J28">
        <v>35988</v>
      </c>
      <c r="K28">
        <v>37608</v>
      </c>
    </row>
    <row r="29" spans="1:11" s="6" customFormat="1" x14ac:dyDescent="0.45">
      <c r="A29" s="6" t="s">
        <v>13</v>
      </c>
      <c r="B29">
        <v>5251</v>
      </c>
      <c r="C29">
        <v>5598</v>
      </c>
      <c r="D29">
        <v>4241</v>
      </c>
      <c r="E29">
        <v>5631</v>
      </c>
      <c r="F29">
        <v>5368</v>
      </c>
      <c r="G29">
        <v>7205</v>
      </c>
      <c r="H29">
        <v>7964</v>
      </c>
      <c r="I29">
        <v>9214</v>
      </c>
      <c r="J29">
        <v>9740</v>
      </c>
      <c r="K29">
        <v>10858</v>
      </c>
    </row>
    <row r="30" spans="1:11" s="6" customFormat="1" x14ac:dyDescent="0.45">
      <c r="A30" s="6" t="s">
        <v>14</v>
      </c>
      <c r="B30">
        <v>13489</v>
      </c>
      <c r="C30">
        <v>14353</v>
      </c>
      <c r="D30">
        <v>16029</v>
      </c>
      <c r="E30">
        <v>15404</v>
      </c>
      <c r="F30">
        <v>16594</v>
      </c>
      <c r="G30">
        <v>19351</v>
      </c>
      <c r="H30">
        <v>22110</v>
      </c>
      <c r="I30">
        <v>24095</v>
      </c>
      <c r="J30">
        <v>26233</v>
      </c>
      <c r="K30">
        <v>26713</v>
      </c>
    </row>
    <row r="31" spans="1:11" s="6" customFormat="1" x14ac:dyDescent="0.45">
      <c r="A31" s="6" t="s">
        <v>61</v>
      </c>
      <c r="B31">
        <v>5548.4</v>
      </c>
      <c r="C31">
        <v>5891.6</v>
      </c>
      <c r="D31">
        <v>9465.6</v>
      </c>
      <c r="E31">
        <v>9222.5</v>
      </c>
      <c r="F31">
        <v>7427</v>
      </c>
      <c r="G31">
        <v>11469.6</v>
      </c>
      <c r="H31">
        <v>13007.6</v>
      </c>
      <c r="I31">
        <v>14069.2</v>
      </c>
      <c r="J31">
        <v>19053.2</v>
      </c>
      <c r="K31">
        <v>17827.8</v>
      </c>
    </row>
    <row r="32" spans="1:11" s="6" customFormat="1" x14ac:dyDescent="0.45"/>
    <row r="33" spans="1:11" x14ac:dyDescent="0.45">
      <c r="A33" s="6"/>
    </row>
    <row r="34" spans="1:11" x14ac:dyDescent="0.45">
      <c r="A34" s="6"/>
    </row>
    <row r="35" spans="1:11" x14ac:dyDescent="0.45">
      <c r="A35" s="6"/>
    </row>
    <row r="36" spans="1:11" x14ac:dyDescent="0.45">
      <c r="A36" s="6"/>
    </row>
    <row r="37" spans="1:11" x14ac:dyDescent="0.45">
      <c r="A37" s="6"/>
    </row>
    <row r="38" spans="1:11" x14ac:dyDescent="0.45">
      <c r="A38" s="6"/>
    </row>
    <row r="39" spans="1:11" x14ac:dyDescent="0.45">
      <c r="A39" s="6"/>
    </row>
    <row r="40" spans="1:11" x14ac:dyDescent="0.45">
      <c r="A40" s="1" t="s">
        <v>39</v>
      </c>
    </row>
    <row r="41" spans="1:11" s="18" customFormat="1" x14ac:dyDescent="0.45">
      <c r="A41" s="17" t="s">
        <v>38</v>
      </c>
      <c r="B41" s="12">
        <v>45199</v>
      </c>
      <c r="C41" s="12">
        <v>45291</v>
      </c>
      <c r="D41" s="12">
        <v>45382</v>
      </c>
      <c r="E41" s="12">
        <v>45473</v>
      </c>
      <c r="F41" s="12">
        <v>45565</v>
      </c>
      <c r="G41" s="12">
        <v>45657</v>
      </c>
      <c r="H41" s="12">
        <v>45747</v>
      </c>
      <c r="I41" s="12">
        <v>45838</v>
      </c>
      <c r="J41" s="12">
        <v>45930</v>
      </c>
      <c r="K41" s="12">
        <v>46022</v>
      </c>
    </row>
    <row r="42" spans="1:11" s="6" customFormat="1" x14ac:dyDescent="0.45">
      <c r="A42" s="6" t="s">
        <v>6</v>
      </c>
      <c r="B42">
        <v>38994</v>
      </c>
      <c r="C42">
        <v>38821</v>
      </c>
      <c r="D42">
        <v>37923</v>
      </c>
      <c r="E42">
        <v>39315</v>
      </c>
      <c r="F42">
        <v>40986</v>
      </c>
      <c r="G42">
        <v>41764</v>
      </c>
      <c r="H42">
        <v>40925</v>
      </c>
      <c r="I42">
        <v>42279</v>
      </c>
      <c r="J42">
        <v>44490</v>
      </c>
      <c r="K42">
        <v>45479</v>
      </c>
    </row>
    <row r="43" spans="1:11" s="6" customFormat="1" x14ac:dyDescent="0.45">
      <c r="A43" s="6" t="s">
        <v>7</v>
      </c>
      <c r="B43">
        <v>29554</v>
      </c>
      <c r="C43">
        <v>29684</v>
      </c>
      <c r="D43">
        <v>29139</v>
      </c>
      <c r="E43">
        <v>29878</v>
      </c>
      <c r="F43">
        <v>31177</v>
      </c>
      <c r="G43">
        <v>31649</v>
      </c>
      <c r="H43">
        <v>31051</v>
      </c>
      <c r="I43">
        <v>32336</v>
      </c>
      <c r="J43">
        <v>33955</v>
      </c>
      <c r="K43">
        <v>34845</v>
      </c>
    </row>
    <row r="44" spans="1:11" s="6" customFormat="1" x14ac:dyDescent="0.45">
      <c r="A44" s="6" t="s">
        <v>9</v>
      </c>
      <c r="B44">
        <v>632</v>
      </c>
      <c r="C44">
        <v>789</v>
      </c>
      <c r="D44">
        <v>2729</v>
      </c>
      <c r="E44">
        <v>838</v>
      </c>
      <c r="F44">
        <v>712</v>
      </c>
      <c r="G44">
        <v>859</v>
      </c>
      <c r="H44">
        <v>1190</v>
      </c>
      <c r="I44">
        <v>1042</v>
      </c>
      <c r="J44">
        <v>982</v>
      </c>
      <c r="K44">
        <v>-150</v>
      </c>
    </row>
    <row r="45" spans="1:11" s="6" customFormat="1" x14ac:dyDescent="0.45">
      <c r="A45" s="6" t="s">
        <v>10</v>
      </c>
      <c r="B45">
        <v>1166</v>
      </c>
      <c r="C45">
        <v>1176</v>
      </c>
      <c r="D45">
        <v>1163</v>
      </c>
      <c r="E45">
        <v>1149</v>
      </c>
      <c r="F45">
        <v>1160</v>
      </c>
      <c r="G45">
        <v>1203</v>
      </c>
      <c r="H45">
        <v>1299</v>
      </c>
      <c r="I45">
        <v>1140</v>
      </c>
      <c r="J45">
        <v>1182</v>
      </c>
      <c r="K45">
        <v>1155</v>
      </c>
    </row>
    <row r="46" spans="1:11" s="6" customFormat="1" x14ac:dyDescent="0.45">
      <c r="A46" s="6" t="s">
        <v>11</v>
      </c>
      <c r="B46">
        <v>138</v>
      </c>
      <c r="C46">
        <v>131</v>
      </c>
      <c r="D46">
        <v>110</v>
      </c>
      <c r="E46">
        <v>105</v>
      </c>
      <c r="F46">
        <v>108</v>
      </c>
      <c r="G46">
        <v>101</v>
      </c>
      <c r="H46">
        <v>102</v>
      </c>
      <c r="I46">
        <v>105</v>
      </c>
      <c r="J46">
        <v>106</v>
      </c>
      <c r="K46">
        <v>100</v>
      </c>
    </row>
    <row r="47" spans="1:11" s="6" customFormat="1" x14ac:dyDescent="0.45">
      <c r="A47" s="6" t="s">
        <v>12</v>
      </c>
      <c r="B47">
        <v>8768</v>
      </c>
      <c r="C47">
        <v>8619</v>
      </c>
      <c r="D47">
        <v>10240</v>
      </c>
      <c r="E47">
        <v>9021</v>
      </c>
      <c r="F47">
        <v>9253</v>
      </c>
      <c r="G47">
        <v>9670</v>
      </c>
      <c r="H47">
        <v>9663</v>
      </c>
      <c r="I47">
        <v>9740</v>
      </c>
      <c r="J47">
        <v>10229</v>
      </c>
      <c r="K47">
        <v>9229</v>
      </c>
    </row>
    <row r="48" spans="1:11" s="6" customFormat="1" x14ac:dyDescent="0.45">
      <c r="A48" s="6" t="s">
        <v>13</v>
      </c>
      <c r="B48">
        <v>2553</v>
      </c>
      <c r="C48">
        <v>2506</v>
      </c>
      <c r="D48">
        <v>2265</v>
      </c>
      <c r="E48">
        <v>2647</v>
      </c>
      <c r="F48">
        <v>2737</v>
      </c>
      <c r="G48">
        <v>2848</v>
      </c>
      <c r="H48">
        <v>2625</v>
      </c>
      <c r="I48">
        <v>2816</v>
      </c>
      <c r="J48">
        <v>2854</v>
      </c>
      <c r="K48">
        <v>2563</v>
      </c>
    </row>
    <row r="49" spans="1:12" s="6" customFormat="1" x14ac:dyDescent="0.45">
      <c r="A49" s="6" t="s">
        <v>14</v>
      </c>
      <c r="B49">
        <v>6212</v>
      </c>
      <c r="C49">
        <v>6106</v>
      </c>
      <c r="D49">
        <v>7969</v>
      </c>
      <c r="E49">
        <v>6368</v>
      </c>
      <c r="F49">
        <v>6506</v>
      </c>
      <c r="G49">
        <v>6806</v>
      </c>
      <c r="H49">
        <v>7033</v>
      </c>
      <c r="I49">
        <v>6921</v>
      </c>
      <c r="J49">
        <v>7364</v>
      </c>
      <c r="K49">
        <v>6654</v>
      </c>
    </row>
    <row r="50" spans="1:12" x14ac:dyDescent="0.45">
      <c r="A50" s="6" t="s">
        <v>8</v>
      </c>
      <c r="B50">
        <v>9440</v>
      </c>
      <c r="C50">
        <v>9137</v>
      </c>
      <c r="D50">
        <v>8784</v>
      </c>
      <c r="E50">
        <v>9437</v>
      </c>
      <c r="F50">
        <v>9809</v>
      </c>
      <c r="G50">
        <v>10115</v>
      </c>
      <c r="H50">
        <v>9874</v>
      </c>
      <c r="I50">
        <v>9943</v>
      </c>
      <c r="J50">
        <v>10535</v>
      </c>
      <c r="K50">
        <v>10634</v>
      </c>
    </row>
    <row r="51" spans="1:12" x14ac:dyDescent="0.45">
      <c r="A51" s="6"/>
    </row>
    <row r="52" spans="1:12" x14ac:dyDescent="0.45">
      <c r="A52" s="6"/>
    </row>
    <row r="53" spans="1:12" x14ac:dyDescent="0.45">
      <c r="A53" s="6"/>
    </row>
    <row r="54" spans="1:12" x14ac:dyDescent="0.45">
      <c r="A54" s="6"/>
    </row>
    <row r="55" spans="1:12" x14ac:dyDescent="0.45">
      <c r="A55" s="1" t="s">
        <v>40</v>
      </c>
    </row>
    <row r="56" spans="1:12" s="18" customFormat="1" x14ac:dyDescent="0.45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2" x14ac:dyDescent="0.45">
      <c r="A57" s="6" t="s">
        <v>24</v>
      </c>
      <c r="B57">
        <v>1144</v>
      </c>
      <c r="C57">
        <v>1144</v>
      </c>
      <c r="D57">
        <v>1088</v>
      </c>
      <c r="E57">
        <v>2170</v>
      </c>
      <c r="F57">
        <v>2122</v>
      </c>
      <c r="G57">
        <v>2124</v>
      </c>
      <c r="H57">
        <v>2098</v>
      </c>
      <c r="I57">
        <v>2069</v>
      </c>
      <c r="J57">
        <v>2071</v>
      </c>
      <c r="K57">
        <v>2073</v>
      </c>
    </row>
    <row r="58" spans="1:12" x14ac:dyDescent="0.45">
      <c r="A58" s="6" t="s">
        <v>25</v>
      </c>
      <c r="B58">
        <v>60600</v>
      </c>
      <c r="C58">
        <v>67838</v>
      </c>
      <c r="D58">
        <v>63835</v>
      </c>
      <c r="E58">
        <v>62778</v>
      </c>
      <c r="F58">
        <v>63328</v>
      </c>
      <c r="G58">
        <v>74227</v>
      </c>
      <c r="H58">
        <v>73252</v>
      </c>
      <c r="I58">
        <v>73338</v>
      </c>
      <c r="J58">
        <v>86045</v>
      </c>
      <c r="K58">
        <v>93745</v>
      </c>
    </row>
    <row r="59" spans="1:12" x14ac:dyDescent="0.45">
      <c r="A59" s="6" t="s">
        <v>62</v>
      </c>
      <c r="F59">
        <v>4633</v>
      </c>
      <c r="G59">
        <v>5325</v>
      </c>
      <c r="H59">
        <v>5474</v>
      </c>
      <c r="I59">
        <v>8299</v>
      </c>
      <c r="J59">
        <v>8359</v>
      </c>
      <c r="K59">
        <v>8227</v>
      </c>
    </row>
    <row r="60" spans="1:12" x14ac:dyDescent="0.45">
      <c r="A60" s="6" t="s">
        <v>63</v>
      </c>
      <c r="B60">
        <v>13354</v>
      </c>
      <c r="C60">
        <v>14166</v>
      </c>
      <c r="D60">
        <v>14426</v>
      </c>
      <c r="E60">
        <v>19118</v>
      </c>
      <c r="F60">
        <v>21717</v>
      </c>
      <c r="G60">
        <v>25835</v>
      </c>
      <c r="H60">
        <v>35905</v>
      </c>
      <c r="I60">
        <v>40890</v>
      </c>
      <c r="J60">
        <v>40885</v>
      </c>
      <c r="K60">
        <v>43750</v>
      </c>
    </row>
    <row r="61" spans="1:12" s="1" customFormat="1" x14ac:dyDescent="0.45">
      <c r="A61" s="1" t="s">
        <v>26</v>
      </c>
      <c r="B61">
        <v>75098</v>
      </c>
      <c r="C61">
        <v>83148</v>
      </c>
      <c r="D61">
        <v>79349</v>
      </c>
      <c r="E61">
        <v>84066</v>
      </c>
      <c r="F61">
        <v>91800</v>
      </c>
      <c r="G61">
        <v>107511</v>
      </c>
      <c r="H61">
        <v>116729</v>
      </c>
      <c r="I61">
        <v>124596</v>
      </c>
      <c r="J61">
        <v>137360</v>
      </c>
      <c r="K61">
        <v>147795</v>
      </c>
    </row>
    <row r="62" spans="1:12" x14ac:dyDescent="0.45">
      <c r="A62" s="6" t="s">
        <v>27</v>
      </c>
      <c r="B62">
        <v>13386</v>
      </c>
      <c r="C62">
        <v>14179</v>
      </c>
      <c r="D62">
        <v>12574</v>
      </c>
      <c r="E62">
        <v>15710</v>
      </c>
      <c r="F62">
        <v>23789</v>
      </c>
      <c r="G62">
        <v>25505</v>
      </c>
      <c r="H62">
        <v>25800</v>
      </c>
      <c r="I62">
        <v>29225</v>
      </c>
      <c r="J62">
        <v>27622</v>
      </c>
      <c r="K62">
        <v>30961</v>
      </c>
      <c r="L62" s="4">
        <f>SUM(C62:C65)</f>
        <v>83148</v>
      </c>
    </row>
    <row r="63" spans="1:12" x14ac:dyDescent="0.45">
      <c r="A63" s="6" t="s">
        <v>28</v>
      </c>
      <c r="B63">
        <v>960</v>
      </c>
      <c r="C63">
        <v>1365</v>
      </c>
      <c r="D63">
        <v>1606</v>
      </c>
      <c r="E63">
        <v>1388</v>
      </c>
      <c r="F63">
        <v>954</v>
      </c>
      <c r="G63">
        <v>922</v>
      </c>
      <c r="H63">
        <v>416</v>
      </c>
      <c r="I63">
        <v>288</v>
      </c>
      <c r="J63">
        <v>293</v>
      </c>
      <c r="K63">
        <v>814</v>
      </c>
    </row>
    <row r="64" spans="1:12" x14ac:dyDescent="0.45">
      <c r="A64" s="6" t="s">
        <v>29</v>
      </c>
      <c r="B64">
        <v>1892</v>
      </c>
      <c r="C64">
        <v>16423</v>
      </c>
      <c r="D64">
        <v>12163</v>
      </c>
      <c r="E64">
        <v>11261</v>
      </c>
      <c r="F64">
        <v>8792</v>
      </c>
      <c r="G64">
        <v>14205</v>
      </c>
      <c r="H64">
        <v>20324</v>
      </c>
      <c r="I64">
        <v>19478</v>
      </c>
      <c r="J64">
        <v>24623</v>
      </c>
      <c r="K64">
        <v>23541</v>
      </c>
    </row>
    <row r="65" spans="1:11" x14ac:dyDescent="0.45">
      <c r="A65" s="6" t="s">
        <v>64</v>
      </c>
      <c r="B65">
        <v>58860</v>
      </c>
      <c r="C65">
        <v>51181</v>
      </c>
      <c r="D65">
        <v>53006</v>
      </c>
      <c r="E65">
        <v>55707</v>
      </c>
      <c r="F65">
        <v>58265</v>
      </c>
      <c r="G65">
        <v>66879</v>
      </c>
      <c r="H65">
        <v>70189</v>
      </c>
      <c r="I65">
        <v>75605</v>
      </c>
      <c r="J65">
        <v>84822</v>
      </c>
      <c r="K65">
        <v>92479</v>
      </c>
    </row>
    <row r="66" spans="1:11" s="1" customFormat="1" x14ac:dyDescent="0.45">
      <c r="A66" s="1" t="s">
        <v>26</v>
      </c>
      <c r="B66">
        <v>75098</v>
      </c>
      <c r="C66">
        <v>83148</v>
      </c>
      <c r="D66">
        <v>79349</v>
      </c>
      <c r="E66">
        <v>84066</v>
      </c>
      <c r="F66">
        <v>91800</v>
      </c>
      <c r="G66">
        <v>107511</v>
      </c>
      <c r="H66">
        <v>116729</v>
      </c>
      <c r="I66">
        <v>124596</v>
      </c>
      <c r="J66">
        <v>137360</v>
      </c>
      <c r="K66">
        <v>147795</v>
      </c>
    </row>
    <row r="67" spans="1:11" s="6" customFormat="1" x14ac:dyDescent="0.45">
      <c r="A67" s="6" t="s">
        <v>69</v>
      </c>
      <c r="B67">
        <v>11330</v>
      </c>
      <c r="C67">
        <v>12322</v>
      </c>
      <c r="D67">
        <v>13142</v>
      </c>
      <c r="E67">
        <v>14827</v>
      </c>
      <c r="F67">
        <v>18487</v>
      </c>
      <c r="G67">
        <v>19294</v>
      </c>
      <c r="H67">
        <v>22698</v>
      </c>
      <c r="I67">
        <v>25424</v>
      </c>
      <c r="J67">
        <v>30193</v>
      </c>
      <c r="K67">
        <v>31158</v>
      </c>
    </row>
    <row r="68" spans="1:11" x14ac:dyDescent="0.45">
      <c r="A68" s="6" t="s">
        <v>45</v>
      </c>
    </row>
    <row r="69" spans="1:11" x14ac:dyDescent="0.45">
      <c r="A69" s="4" t="s">
        <v>78</v>
      </c>
      <c r="B69">
        <v>32697</v>
      </c>
      <c r="C69">
        <v>22625</v>
      </c>
      <c r="D69">
        <v>19818</v>
      </c>
      <c r="E69">
        <v>19568</v>
      </c>
      <c r="F69">
        <v>18649</v>
      </c>
      <c r="G69">
        <v>24714</v>
      </c>
      <c r="H69">
        <v>17472</v>
      </c>
      <c r="I69">
        <v>12173</v>
      </c>
      <c r="J69">
        <v>14786</v>
      </c>
      <c r="K69">
        <v>24455</v>
      </c>
    </row>
    <row r="70" spans="1:11" x14ac:dyDescent="0.45">
      <c r="A70" s="4" t="s">
        <v>65</v>
      </c>
      <c r="B70">
        <v>2285621088</v>
      </c>
      <c r="C70">
        <v>2285655150</v>
      </c>
      <c r="D70">
        <v>2173312301</v>
      </c>
      <c r="E70">
        <v>4335954462</v>
      </c>
      <c r="F70">
        <v>4240753210</v>
      </c>
      <c r="G70">
        <v>4245146114</v>
      </c>
      <c r="H70">
        <v>4193012929</v>
      </c>
      <c r="I70">
        <v>4136387925</v>
      </c>
      <c r="J70">
        <v>4139950635</v>
      </c>
      <c r="K70">
        <v>4143607528</v>
      </c>
    </row>
    <row r="71" spans="1:11" x14ac:dyDescent="0.45">
      <c r="A71" s="4" t="s">
        <v>66</v>
      </c>
      <c r="B71">
        <v>1148472332</v>
      </c>
      <c r="E71">
        <v>2184191490</v>
      </c>
    </row>
    <row r="72" spans="1:11" x14ac:dyDescent="0.45">
      <c r="A72" s="4" t="s">
        <v>79</v>
      </c>
      <c r="B72">
        <v>5</v>
      </c>
      <c r="C72">
        <v>5</v>
      </c>
      <c r="D72">
        <v>5</v>
      </c>
      <c r="E72">
        <v>5</v>
      </c>
      <c r="F72">
        <v>5</v>
      </c>
      <c r="G72">
        <v>5</v>
      </c>
      <c r="H72">
        <v>5</v>
      </c>
      <c r="I72">
        <v>5</v>
      </c>
      <c r="J72">
        <v>5</v>
      </c>
      <c r="K72">
        <v>5</v>
      </c>
    </row>
    <row r="74" spans="1:11" x14ac:dyDescent="0.45">
      <c r="A74" s="6"/>
    </row>
    <row r="75" spans="1:11" x14ac:dyDescent="0.45">
      <c r="A75" s="6"/>
    </row>
    <row r="76" spans="1:11" x14ac:dyDescent="0.45">
      <c r="A76" s="6"/>
    </row>
    <row r="77" spans="1:11" x14ac:dyDescent="0.45">
      <c r="A77" s="6"/>
    </row>
    <row r="78" spans="1:11" x14ac:dyDescent="0.45">
      <c r="A78" s="6"/>
    </row>
    <row r="79" spans="1:11" x14ac:dyDescent="0.45">
      <c r="A79" s="6"/>
    </row>
    <row r="80" spans="1:11" x14ac:dyDescent="0.45">
      <c r="A80" s="1" t="s">
        <v>41</v>
      </c>
    </row>
    <row r="81" spans="1:11" s="18" customFormat="1" x14ac:dyDescent="0.45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45">
      <c r="A82" s="6" t="s">
        <v>32</v>
      </c>
      <c r="B82">
        <v>10028</v>
      </c>
      <c r="C82">
        <v>11531</v>
      </c>
      <c r="D82">
        <v>13218</v>
      </c>
      <c r="E82">
        <v>14841</v>
      </c>
      <c r="F82">
        <v>17003</v>
      </c>
      <c r="G82">
        <v>23224</v>
      </c>
      <c r="H82">
        <v>23885</v>
      </c>
      <c r="I82">
        <v>22467</v>
      </c>
      <c r="J82">
        <v>25210</v>
      </c>
      <c r="K82">
        <v>35694</v>
      </c>
    </row>
    <row r="83" spans="1:11" s="6" customFormat="1" x14ac:dyDescent="0.45">
      <c r="A83" s="6" t="s">
        <v>33</v>
      </c>
      <c r="B83">
        <v>-885</v>
      </c>
      <c r="C83">
        <v>-14664</v>
      </c>
      <c r="D83">
        <v>4533</v>
      </c>
      <c r="E83">
        <v>-632</v>
      </c>
      <c r="F83">
        <v>-331</v>
      </c>
      <c r="G83">
        <v>-7373</v>
      </c>
      <c r="H83">
        <v>-6485</v>
      </c>
      <c r="I83">
        <v>-1071</v>
      </c>
      <c r="J83">
        <v>-5093</v>
      </c>
      <c r="K83">
        <v>-1864</v>
      </c>
    </row>
    <row r="84" spans="1:11" s="6" customFormat="1" x14ac:dyDescent="0.45">
      <c r="A84" s="6" t="s">
        <v>34</v>
      </c>
      <c r="B84">
        <v>-6813</v>
      </c>
      <c r="C84">
        <v>-6939</v>
      </c>
      <c r="D84">
        <v>-20505</v>
      </c>
      <c r="E84">
        <v>-14512</v>
      </c>
      <c r="F84">
        <v>-17591</v>
      </c>
      <c r="G84">
        <v>-9786</v>
      </c>
      <c r="H84">
        <v>-24642</v>
      </c>
      <c r="I84">
        <v>-26695</v>
      </c>
      <c r="J84">
        <v>-17504</v>
      </c>
      <c r="K84">
        <v>-24161</v>
      </c>
    </row>
    <row r="85" spans="1:11" s="1" customFormat="1" x14ac:dyDescent="0.45">
      <c r="A85" s="6" t="s">
        <v>35</v>
      </c>
      <c r="B85">
        <v>2330</v>
      </c>
      <c r="C85">
        <v>-10072</v>
      </c>
      <c r="D85">
        <v>-2754</v>
      </c>
      <c r="E85">
        <v>-303</v>
      </c>
      <c r="F85">
        <v>-919</v>
      </c>
      <c r="G85">
        <v>6065</v>
      </c>
      <c r="H85">
        <v>-7242</v>
      </c>
      <c r="I85">
        <v>-5299</v>
      </c>
      <c r="J85">
        <v>2613</v>
      </c>
      <c r="K85">
        <v>9669</v>
      </c>
    </row>
    <row r="86" spans="1:11" x14ac:dyDescent="0.45">
      <c r="A86" s="6"/>
    </row>
    <row r="87" spans="1:11" x14ac:dyDescent="0.45">
      <c r="A87" s="6"/>
    </row>
    <row r="88" spans="1:11" x14ac:dyDescent="0.45">
      <c r="A88" s="6"/>
    </row>
    <row r="89" spans="1:11" x14ac:dyDescent="0.45">
      <c r="A89" s="6"/>
    </row>
    <row r="90" spans="1:11" s="1" customFormat="1" x14ac:dyDescent="0.45">
      <c r="A90" s="1" t="s">
        <v>68</v>
      </c>
      <c r="B90">
        <v>609.15</v>
      </c>
      <c r="C90">
        <v>511.13</v>
      </c>
      <c r="D90">
        <v>565.9</v>
      </c>
      <c r="E90">
        <v>743.85</v>
      </c>
      <c r="F90">
        <v>641.5</v>
      </c>
      <c r="G90">
        <v>1368.05</v>
      </c>
      <c r="H90">
        <v>1906.85</v>
      </c>
      <c r="I90">
        <v>1427.95</v>
      </c>
      <c r="J90">
        <v>1498.05</v>
      </c>
      <c r="K90">
        <v>1570.65</v>
      </c>
    </row>
    <row r="92" spans="1:11" s="1" customFormat="1" x14ac:dyDescent="0.45">
      <c r="A92" s="1" t="s">
        <v>67</v>
      </c>
    </row>
    <row r="93" spans="1:11" x14ac:dyDescent="0.45">
      <c r="A93" s="4" t="s">
        <v>80</v>
      </c>
      <c r="B93" s="20">
        <v>459.39</v>
      </c>
      <c r="C93" s="20">
        <v>459.39</v>
      </c>
      <c r="D93" s="20">
        <v>436.82</v>
      </c>
      <c r="E93" s="20">
        <v>436.89</v>
      </c>
      <c r="F93" s="20">
        <v>425.9</v>
      </c>
      <c r="G93" s="20">
        <v>426.07</v>
      </c>
      <c r="H93" s="20">
        <v>420.67</v>
      </c>
      <c r="I93" s="20">
        <v>414.86</v>
      </c>
      <c r="J93" s="20">
        <v>415.09</v>
      </c>
      <c r="K93" s="20">
        <v>415.33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2" tint="-0.499984740745262"/>
    <pageSetUpPr fitToPage="1"/>
  </sheetPr>
  <dimension ref="A1:K24"/>
  <sheetViews>
    <sheetView zoomScale="94" workbookViewId="0">
      <pane xSplit="1" ySplit="3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D13" sqref="D13"/>
    </sheetView>
  </sheetViews>
  <sheetFormatPr defaultColWidth="8.796875" defaultRowHeight="14.25" x14ac:dyDescent="0.45"/>
  <cols>
    <col min="1" max="1" width="22.796875" bestFit="1" customWidth="1"/>
    <col min="2" max="2" width="13.46484375" customWidth="1"/>
    <col min="3" max="11" width="15.46484375" customWidth="1"/>
  </cols>
  <sheetData>
    <row r="1" spans="1:11" s="2" customFormat="1" x14ac:dyDescent="0.45">
      <c r="A1" s="2" t="str">
        <f>'Profit &amp; Loss (Input)'!A1</f>
        <v>INFOSYS LTD</v>
      </c>
      <c r="E1" t="str">
        <f>UPDATE</f>
        <v/>
      </c>
      <c r="G1"/>
      <c r="J1" s="2" t="s">
        <v>1</v>
      </c>
    </row>
    <row r="2" spans="1:11" x14ac:dyDescent="0.45">
      <c r="G2" s="2"/>
      <c r="H2" s="2"/>
    </row>
    <row r="3" spans="1:11" x14ac:dyDescent="0.45">
      <c r="A3" s="11" t="s">
        <v>2</v>
      </c>
      <c r="B3" s="12">
        <f>'Data (Input)'!B56</f>
        <v>42460</v>
      </c>
      <c r="C3" s="12">
        <f>'Data (Input)'!C56</f>
        <v>42825</v>
      </c>
      <c r="D3" s="12">
        <f>'Data (Input)'!D56</f>
        <v>43190</v>
      </c>
      <c r="E3" s="12">
        <f>'Data (Input)'!E56</f>
        <v>43555</v>
      </c>
      <c r="F3" s="12">
        <f>'Data (Input)'!F56</f>
        <v>43921</v>
      </c>
      <c r="G3" s="12">
        <f>'Data (Input)'!G56</f>
        <v>44286</v>
      </c>
      <c r="H3" s="12">
        <f>'Data (Input)'!H56</f>
        <v>44651</v>
      </c>
      <c r="I3" s="12">
        <f>'Data (Input)'!I56</f>
        <v>45016</v>
      </c>
      <c r="J3" s="12">
        <f>'Data (Input)'!J56</f>
        <v>45382</v>
      </c>
      <c r="K3" s="12">
        <f>'Data (Input)'!K56</f>
        <v>45747</v>
      </c>
    </row>
    <row r="4" spans="1:11" x14ac:dyDescent="0.45">
      <c r="A4" t="s">
        <v>24</v>
      </c>
      <c r="B4" s="14">
        <f>'Data (Input)'!B57</f>
        <v>1144</v>
      </c>
      <c r="C4" s="14">
        <f>'Data (Input)'!C57</f>
        <v>1144</v>
      </c>
      <c r="D4" s="14">
        <f>'Data (Input)'!D57</f>
        <v>1088</v>
      </c>
      <c r="E4" s="14">
        <f>'Data (Input)'!E57</f>
        <v>2170</v>
      </c>
      <c r="F4" s="14">
        <f>'Data (Input)'!F57</f>
        <v>2122</v>
      </c>
      <c r="G4" s="14">
        <f>'Data (Input)'!G57</f>
        <v>2124</v>
      </c>
      <c r="H4" s="14">
        <f>'Data (Input)'!H57</f>
        <v>2098</v>
      </c>
      <c r="I4" s="14">
        <f>'Data (Input)'!I57</f>
        <v>2069</v>
      </c>
      <c r="J4" s="14">
        <f>'Data (Input)'!J57</f>
        <v>2071</v>
      </c>
      <c r="K4" s="14">
        <f>'Data (Input)'!K57</f>
        <v>2073</v>
      </c>
    </row>
    <row r="5" spans="1:11" x14ac:dyDescent="0.45">
      <c r="A5" t="s">
        <v>25</v>
      </c>
      <c r="B5" s="14">
        <f>'Data (Input)'!B58</f>
        <v>60600</v>
      </c>
      <c r="C5" s="14">
        <f>'Data (Input)'!C58</f>
        <v>67838</v>
      </c>
      <c r="D5" s="14">
        <f>'Data (Input)'!D58</f>
        <v>63835</v>
      </c>
      <c r="E5" s="14">
        <f>'Data (Input)'!E58</f>
        <v>62778</v>
      </c>
      <c r="F5" s="14">
        <f>'Data (Input)'!F58</f>
        <v>63328</v>
      </c>
      <c r="G5" s="14">
        <f>'Data (Input)'!G58</f>
        <v>74227</v>
      </c>
      <c r="H5" s="14">
        <f>'Data (Input)'!H58</f>
        <v>73252</v>
      </c>
      <c r="I5" s="14">
        <f>'Data (Input)'!I58</f>
        <v>73338</v>
      </c>
      <c r="J5" s="14">
        <f>'Data (Input)'!J58</f>
        <v>86045</v>
      </c>
      <c r="K5" s="14">
        <f>'Data (Input)'!K58</f>
        <v>93745</v>
      </c>
    </row>
    <row r="6" spans="1:11" x14ac:dyDescent="0.45">
      <c r="A6" t="s">
        <v>62</v>
      </c>
      <c r="B6" s="14">
        <f>'Data (Input)'!B59</f>
        <v>0</v>
      </c>
      <c r="C6" s="14">
        <f>'Data (Input)'!C59</f>
        <v>0</v>
      </c>
      <c r="D6" s="14">
        <f>'Data (Input)'!D59</f>
        <v>0</v>
      </c>
      <c r="E6" s="14">
        <f>'Data (Input)'!E59</f>
        <v>0</v>
      </c>
      <c r="F6" s="14">
        <f>'Data (Input)'!F59</f>
        <v>4633</v>
      </c>
      <c r="G6" s="14">
        <f>'Data (Input)'!G59</f>
        <v>5325</v>
      </c>
      <c r="H6" s="14">
        <f>'Data (Input)'!H59</f>
        <v>5474</v>
      </c>
      <c r="I6" s="14">
        <f>'Data (Input)'!I59</f>
        <v>8299</v>
      </c>
      <c r="J6" s="14">
        <f>'Data (Input)'!J59</f>
        <v>8359</v>
      </c>
      <c r="K6" s="14">
        <f>'Data (Input)'!K59</f>
        <v>8227</v>
      </c>
    </row>
    <row r="7" spans="1:11" x14ac:dyDescent="0.45">
      <c r="A7" t="s">
        <v>63</v>
      </c>
      <c r="B7" s="14">
        <f>'Data (Input)'!B60</f>
        <v>13354</v>
      </c>
      <c r="C7" s="14">
        <f>'Data (Input)'!C60</f>
        <v>14166</v>
      </c>
      <c r="D7" s="14">
        <f>'Data (Input)'!D60</f>
        <v>14426</v>
      </c>
      <c r="E7" s="14">
        <f>'Data (Input)'!E60</f>
        <v>19118</v>
      </c>
      <c r="F7" s="14">
        <f>'Data (Input)'!F60</f>
        <v>21717</v>
      </c>
      <c r="G7" s="14">
        <f>'Data (Input)'!G60</f>
        <v>25835</v>
      </c>
      <c r="H7" s="14">
        <f>'Data (Input)'!H60</f>
        <v>35905</v>
      </c>
      <c r="I7" s="14">
        <f>'Data (Input)'!I60</f>
        <v>40890</v>
      </c>
      <c r="J7" s="14">
        <f>'Data (Input)'!J60</f>
        <v>40885</v>
      </c>
      <c r="K7" s="14">
        <f>'Data (Input)'!K60</f>
        <v>43750</v>
      </c>
    </row>
    <row r="8" spans="1:11" s="2" customFormat="1" x14ac:dyDescent="0.45">
      <c r="A8" s="2" t="s">
        <v>26</v>
      </c>
      <c r="B8" s="15">
        <f>'Data (Input)'!B61</f>
        <v>75098</v>
      </c>
      <c r="C8" s="15">
        <f>'Data (Input)'!C61</f>
        <v>83148</v>
      </c>
      <c r="D8" s="15">
        <f>'Data (Input)'!D61</f>
        <v>79349</v>
      </c>
      <c r="E8" s="15">
        <f>'Data (Input)'!E61</f>
        <v>84066</v>
      </c>
      <c r="F8" s="15">
        <f>'Data (Input)'!F61</f>
        <v>91800</v>
      </c>
      <c r="G8" s="15">
        <f>'Data (Input)'!G61</f>
        <v>107511</v>
      </c>
      <c r="H8" s="15">
        <f>'Data (Input)'!H61</f>
        <v>116729</v>
      </c>
      <c r="I8" s="15">
        <f>'Data (Input)'!I61</f>
        <v>124596</v>
      </c>
      <c r="J8" s="15">
        <f>'Data (Input)'!J61</f>
        <v>137360</v>
      </c>
      <c r="K8" s="15">
        <f>'Data (Input)'!K61</f>
        <v>147795</v>
      </c>
    </row>
    <row r="9" spans="1:11" s="2" customFormat="1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x14ac:dyDescent="0.45">
      <c r="A10" t="s">
        <v>27</v>
      </c>
      <c r="B10" s="14">
        <f>'Data (Input)'!B62</f>
        <v>13386</v>
      </c>
      <c r="C10" s="14">
        <f>'Data (Input)'!C62</f>
        <v>14179</v>
      </c>
      <c r="D10" s="14">
        <f>'Data (Input)'!D62</f>
        <v>12574</v>
      </c>
      <c r="E10" s="14">
        <f>'Data (Input)'!E62</f>
        <v>15710</v>
      </c>
      <c r="F10" s="14">
        <f>'Data (Input)'!F62</f>
        <v>23789</v>
      </c>
      <c r="G10" s="14">
        <f>'Data (Input)'!G62</f>
        <v>25505</v>
      </c>
      <c r="H10" s="14">
        <f>'Data (Input)'!H62</f>
        <v>25800</v>
      </c>
      <c r="I10" s="14">
        <f>'Data (Input)'!I62</f>
        <v>29225</v>
      </c>
      <c r="J10" s="14">
        <f>'Data (Input)'!J62</f>
        <v>27622</v>
      </c>
      <c r="K10" s="14">
        <f>'Data (Input)'!K62</f>
        <v>30961</v>
      </c>
    </row>
    <row r="11" spans="1:11" x14ac:dyDescent="0.45">
      <c r="A11" t="s">
        <v>28</v>
      </c>
      <c r="B11" s="14">
        <f>'Data (Input)'!B63</f>
        <v>960</v>
      </c>
      <c r="C11" s="14">
        <f>'Data (Input)'!C63</f>
        <v>1365</v>
      </c>
      <c r="D11" s="14">
        <f>'Data (Input)'!D63</f>
        <v>1606</v>
      </c>
      <c r="E11" s="14">
        <f>'Data (Input)'!E63</f>
        <v>1388</v>
      </c>
      <c r="F11" s="14">
        <f>'Data (Input)'!F63</f>
        <v>954</v>
      </c>
      <c r="G11" s="14">
        <f>'Data (Input)'!G63</f>
        <v>922</v>
      </c>
      <c r="H11" s="14">
        <f>'Data (Input)'!H63</f>
        <v>416</v>
      </c>
      <c r="I11" s="14">
        <f>'Data (Input)'!I63</f>
        <v>288</v>
      </c>
      <c r="J11" s="14">
        <f>'Data (Input)'!J63</f>
        <v>293</v>
      </c>
      <c r="K11" s="14">
        <f>'Data (Input)'!K63</f>
        <v>814</v>
      </c>
    </row>
    <row r="12" spans="1:11" x14ac:dyDescent="0.45">
      <c r="A12" t="s">
        <v>29</v>
      </c>
      <c r="B12" s="14">
        <f>'Data (Input)'!B64</f>
        <v>1892</v>
      </c>
      <c r="C12" s="14">
        <f>'Data (Input)'!C64</f>
        <v>16423</v>
      </c>
      <c r="D12" s="14">
        <f>'Data (Input)'!D64</f>
        <v>12163</v>
      </c>
      <c r="E12" s="14">
        <f>'Data (Input)'!E64</f>
        <v>11261</v>
      </c>
      <c r="F12" s="14">
        <f>'Data (Input)'!F64</f>
        <v>8792</v>
      </c>
      <c r="G12" s="14">
        <f>'Data (Input)'!G64</f>
        <v>14205</v>
      </c>
      <c r="H12" s="14">
        <f>'Data (Input)'!H64</f>
        <v>20324</v>
      </c>
      <c r="I12" s="14">
        <f>'Data (Input)'!I64</f>
        <v>19478</v>
      </c>
      <c r="J12" s="14">
        <f>'Data (Input)'!J64</f>
        <v>24623</v>
      </c>
      <c r="K12" s="14">
        <f>'Data (Input)'!K64</f>
        <v>23541</v>
      </c>
    </row>
    <row r="13" spans="1:11" x14ac:dyDescent="0.45">
      <c r="A13" t="s">
        <v>64</v>
      </c>
      <c r="B13" s="14">
        <f>'Data (Input)'!B65</f>
        <v>58860</v>
      </c>
      <c r="C13" s="14">
        <f>'Data (Input)'!C65</f>
        <v>51181</v>
      </c>
      <c r="D13" s="14">
        <f>'Data (Input)'!D65</f>
        <v>53006</v>
      </c>
      <c r="E13" s="14">
        <f>'Data (Input)'!E65</f>
        <v>55707</v>
      </c>
      <c r="F13" s="14">
        <f>'Data (Input)'!F65</f>
        <v>58265</v>
      </c>
      <c r="G13" s="14">
        <f>'Data (Input)'!G65</f>
        <v>66879</v>
      </c>
      <c r="H13" s="14">
        <f>'Data (Input)'!H65</f>
        <v>70189</v>
      </c>
      <c r="I13" s="14">
        <f>'Data (Input)'!I65</f>
        <v>75605</v>
      </c>
      <c r="J13" s="14">
        <f>'Data (Input)'!J65</f>
        <v>84822</v>
      </c>
      <c r="K13" s="14">
        <f>'Data (Input)'!K65</f>
        <v>92479</v>
      </c>
    </row>
    <row r="14" spans="1:11" s="2" customFormat="1" x14ac:dyDescent="0.45">
      <c r="A14" s="2" t="s">
        <v>26</v>
      </c>
      <c r="B14" s="14">
        <f>'Data (Input)'!B66</f>
        <v>75098</v>
      </c>
      <c r="C14" s="14">
        <f>'Data (Input)'!C66</f>
        <v>83148</v>
      </c>
      <c r="D14" s="14">
        <f>'Data (Input)'!D66</f>
        <v>79349</v>
      </c>
      <c r="E14" s="14">
        <f>'Data (Input)'!E66</f>
        <v>84066</v>
      </c>
      <c r="F14" s="14">
        <f>'Data (Input)'!F66</f>
        <v>91800</v>
      </c>
      <c r="G14" s="14">
        <f>'Data (Input)'!G66</f>
        <v>107511</v>
      </c>
      <c r="H14" s="14">
        <f>'Data (Input)'!H66</f>
        <v>116729</v>
      </c>
      <c r="I14" s="14">
        <f>'Data (Input)'!I66</f>
        <v>124596</v>
      </c>
      <c r="J14" s="14">
        <f>'Data (Input)'!J66</f>
        <v>137360</v>
      </c>
      <c r="K14" s="14">
        <f>'Data (Input)'!K66</f>
        <v>147795</v>
      </c>
    </row>
    <row r="15" spans="1:11" x14ac:dyDescent="0.4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45">
      <c r="A16" t="s">
        <v>30</v>
      </c>
      <c r="B16" s="4">
        <f>B13-B7</f>
        <v>45506</v>
      </c>
      <c r="C16" s="4">
        <f t="shared" ref="C16:K16" si="0">C13-C7</f>
        <v>37015</v>
      </c>
      <c r="D16" s="4">
        <f t="shared" si="0"/>
        <v>38580</v>
      </c>
      <c r="E16" s="4">
        <f t="shared" si="0"/>
        <v>36589</v>
      </c>
      <c r="F16" s="4">
        <f t="shared" si="0"/>
        <v>36548</v>
      </c>
      <c r="G16" s="4">
        <f t="shared" si="0"/>
        <v>41044</v>
      </c>
      <c r="H16" s="4">
        <f t="shared" si="0"/>
        <v>34284</v>
      </c>
      <c r="I16" s="4">
        <f t="shared" si="0"/>
        <v>34715</v>
      </c>
      <c r="J16" s="4">
        <f t="shared" si="0"/>
        <v>43937</v>
      </c>
      <c r="K16" s="4">
        <f t="shared" si="0"/>
        <v>48729</v>
      </c>
    </row>
    <row r="17" spans="1:11" x14ac:dyDescent="0.45">
      <c r="A17" t="s">
        <v>44</v>
      </c>
      <c r="B17" s="4">
        <f>'Data (Input)'!B67</f>
        <v>11330</v>
      </c>
      <c r="C17" s="4">
        <f>'Data (Input)'!C67</f>
        <v>12322</v>
      </c>
      <c r="D17" s="4">
        <f>'Data (Input)'!D67</f>
        <v>13142</v>
      </c>
      <c r="E17" s="4">
        <f>'Data (Input)'!E67</f>
        <v>14827</v>
      </c>
      <c r="F17" s="4">
        <f>'Data (Input)'!F67</f>
        <v>18487</v>
      </c>
      <c r="G17" s="4">
        <f>'Data (Input)'!G67</f>
        <v>19294</v>
      </c>
      <c r="H17" s="4">
        <f>'Data (Input)'!H67</f>
        <v>22698</v>
      </c>
      <c r="I17" s="4">
        <f>'Data (Input)'!I67</f>
        <v>25424</v>
      </c>
      <c r="J17" s="4">
        <f>'Data (Input)'!J67</f>
        <v>30193</v>
      </c>
      <c r="K17" s="4">
        <f>'Data (Input)'!K67</f>
        <v>31158</v>
      </c>
    </row>
    <row r="18" spans="1:11" x14ac:dyDescent="0.45">
      <c r="A18" t="s">
        <v>45</v>
      </c>
      <c r="B18" s="4">
        <f>'Data (Input)'!B68</f>
        <v>0</v>
      </c>
      <c r="C18" s="4">
        <f>'Data (Input)'!C68</f>
        <v>0</v>
      </c>
      <c r="D18" s="4">
        <f>'Data (Input)'!D68</f>
        <v>0</v>
      </c>
      <c r="E18" s="4">
        <f>'Data (Input)'!E68</f>
        <v>0</v>
      </c>
      <c r="F18" s="4">
        <f>'Data (Input)'!F68</f>
        <v>0</v>
      </c>
      <c r="G18" s="4">
        <f>'Data (Input)'!G68</f>
        <v>0</v>
      </c>
      <c r="H18" s="4">
        <f>'Data (Input)'!H68</f>
        <v>0</v>
      </c>
      <c r="I18" s="4">
        <f>'Data (Input)'!I68</f>
        <v>0</v>
      </c>
      <c r="J18" s="4">
        <f>'Data (Input)'!J68</f>
        <v>0</v>
      </c>
      <c r="K18" s="4">
        <f>'Data (Input)'!K68</f>
        <v>0</v>
      </c>
    </row>
    <row r="19" spans="1:11" x14ac:dyDescent="0.45">
      <c r="B19" s="28"/>
    </row>
    <row r="20" spans="1:11" x14ac:dyDescent="0.45">
      <c r="A20" t="s">
        <v>46</v>
      </c>
      <c r="B20" s="4">
        <f>IF('Profit &amp; Loss (Input)'!B4&gt;0,'Balance Sheet (Input)'!B17/('Profit &amp; Loss (Input)'!B4/365),0)</f>
        <v>66.229720856488527</v>
      </c>
      <c r="C20" s="4">
        <f>IF('Profit &amp; Loss (Input)'!C4&gt;0,'Balance Sheet (Input)'!C17/('Profit &amp; Loss (Input)'!C4/365),0)</f>
        <v>65.672711874306415</v>
      </c>
      <c r="D20" s="4">
        <f>IF('Profit &amp; Loss (Input)'!D4&gt;0,'Balance Sheet (Input)'!D17/('Profit &amp; Loss (Input)'!D4/365),0)</f>
        <v>68.018916082924477</v>
      </c>
      <c r="E20" s="4">
        <f>IF('Profit &amp; Loss (Input)'!E4&gt;0,'Balance Sheet (Input)'!E17/('Profit &amp; Loss (Input)'!E4/365),0)</f>
        <v>65.459389174478375</v>
      </c>
      <c r="F20" s="4">
        <f>IF('Profit &amp; Loss (Input)'!F4&gt;0,'Balance Sheet (Input)'!F17/('Profit &amp; Loss (Input)'!F4/365),0)</f>
        <v>74.321849081957467</v>
      </c>
      <c r="G20" s="4">
        <f>IF('Profit &amp; Loss (Input)'!G4&gt;0,'Balance Sheet (Input)'!G17/('Profit &amp; Loss (Input)'!G4/365),0)</f>
        <v>70.092264511505689</v>
      </c>
      <c r="H20" s="4">
        <f>IF('Profit &amp; Loss (Input)'!H4&gt;0,'Balance Sheet (Input)'!H17/('Profit &amp; Loss (Input)'!H4/365),0)</f>
        <v>68.108368066688044</v>
      </c>
      <c r="I20" s="4">
        <f>IF('Profit &amp; Loss (Input)'!I4&gt;0,'Balance Sheet (Input)'!I17/('Profit &amp; Loss (Input)'!I4/365),0)</f>
        <v>63.227837320378562</v>
      </c>
      <c r="J20" s="4">
        <f>IF('Profit &amp; Loss (Input)'!J4&gt;0,'Balance Sheet (Input)'!J17/('Profit &amp; Loss (Input)'!J4/365),0)</f>
        <v>71.715006182078469</v>
      </c>
      <c r="K20" s="4">
        <f>IF('Profit &amp; Loss (Input)'!K4&gt;0,'Balance Sheet (Input)'!K17/('Profit &amp; Loss (Input)'!K4/365),0)</f>
        <v>69.775262286029815</v>
      </c>
    </row>
    <row r="21" spans="1:11" x14ac:dyDescent="0.45">
      <c r="A21" t="s">
        <v>47</v>
      </c>
      <c r="B21" s="4">
        <f>IF('Balance Sheet (Input)'!B18&gt;0,'Profit &amp; Loss (Input)'!B4/'Balance Sheet (Input)'!B18,0)</f>
        <v>0</v>
      </c>
      <c r="C21" s="4">
        <f>IF('Balance Sheet (Input)'!C18&gt;0,'Profit &amp; Loss (Input)'!C4/'Balance Sheet (Input)'!C18,0)</f>
        <v>0</v>
      </c>
      <c r="D21" s="4">
        <f>IF('Balance Sheet (Input)'!D18&gt;0,'Profit &amp; Loss (Input)'!D4/'Balance Sheet (Input)'!D18,0)</f>
        <v>0</v>
      </c>
      <c r="E21" s="4">
        <f>IF('Balance Sheet (Input)'!E18&gt;0,'Profit &amp; Loss (Input)'!E4/'Balance Sheet (Input)'!E18,0)</f>
        <v>0</v>
      </c>
      <c r="F21" s="4">
        <f>IF('Balance Sheet (Input)'!F18&gt;0,'Profit &amp; Loss (Input)'!F4/'Balance Sheet (Input)'!F18,0)</f>
        <v>0</v>
      </c>
      <c r="G21" s="4">
        <f>IF('Balance Sheet (Input)'!G18&gt;0,'Profit &amp; Loss (Input)'!G4/'Balance Sheet (Input)'!G18,0)</f>
        <v>0</v>
      </c>
      <c r="H21" s="4">
        <f>IF('Balance Sheet (Input)'!H18&gt;0,'Profit &amp; Loss (Input)'!H4/'Balance Sheet (Input)'!H18,0)</f>
        <v>0</v>
      </c>
      <c r="I21" s="4">
        <f>IF('Balance Sheet (Input)'!I18&gt;0,'Profit &amp; Loss (Input)'!I4/'Balance Sheet (Input)'!I18,0)</f>
        <v>0</v>
      </c>
      <c r="J21" s="4">
        <f>IF('Balance Sheet (Input)'!J18&gt;0,'Profit &amp; Loss (Input)'!J4/'Balance Sheet (Input)'!J18,0)</f>
        <v>0</v>
      </c>
      <c r="K21" s="4">
        <f>IF('Balance Sheet (Input)'!K18&gt;0,'Profit &amp; Loss (Input)'!K4/'Balance Sheet (Input)'!K18,0)</f>
        <v>0</v>
      </c>
    </row>
    <row r="23" spans="1:11" s="2" customFormat="1" x14ac:dyDescent="0.45">
      <c r="A23" s="2" t="s">
        <v>50</v>
      </c>
      <c r="B23" s="10">
        <f>IF(SUM('Balance Sheet (Input)'!B4:B5)&gt;0,'Profit &amp; Loss (Input)'!B12/SUM('Balance Sheet (Input)'!B4:B5),"")</f>
        <v>0.2184665716506867</v>
      </c>
      <c r="C23" s="10">
        <f>IF(SUM('Balance Sheet (Input)'!C4:C5)&gt;0,'Profit &amp; Loss (Input)'!C12/SUM('Balance Sheet (Input)'!C4:C5),"")</f>
        <v>0.20806877156359629</v>
      </c>
      <c r="D23" s="10">
        <f>IF(SUM('Balance Sheet (Input)'!D4:D5)&gt;0,'Profit &amp; Loss (Input)'!D12/SUM('Balance Sheet (Input)'!D4:D5),"")</f>
        <v>0.24689247262141306</v>
      </c>
      <c r="E23" s="10">
        <f>IF(SUM('Balance Sheet (Input)'!E4:E5)&gt;0,'Profit &amp; Loss (Input)'!E12/SUM('Balance Sheet (Input)'!E4:E5),"")</f>
        <v>0.23717435486851018</v>
      </c>
      <c r="F23" s="10">
        <f>IF(SUM('Balance Sheet (Input)'!F4:F5)&gt;0,'Profit &amp; Loss (Input)'!F12/SUM('Balance Sheet (Input)'!F4:F5),"")</f>
        <v>0.25353705118411002</v>
      </c>
      <c r="G23" s="10">
        <f>IF(SUM('Balance Sheet (Input)'!G4:G5)&gt;0,'Profit &amp; Loss (Input)'!G12/SUM('Balance Sheet (Input)'!G4:G5),"")</f>
        <v>0.2534478919726002</v>
      </c>
      <c r="H23" s="10">
        <f>IF(SUM('Balance Sheet (Input)'!H4:H5)&gt;0,'Profit &amp; Loss (Input)'!H12/SUM('Balance Sheet (Input)'!H4:H5),"")</f>
        <v>0.29343065693430659</v>
      </c>
      <c r="I23" s="10">
        <f>IF(SUM('Balance Sheet (Input)'!I4:I5)&gt;0,'Profit &amp; Loss (Input)'!I12/SUM('Balance Sheet (Input)'!I4:I5),"")</f>
        <v>0.31953266938082669</v>
      </c>
      <c r="J23" s="10">
        <f>IF(SUM('Balance Sheet (Input)'!J4:J5)&gt;0,'Profit &amp; Loss (Input)'!J12/SUM('Balance Sheet (Input)'!J4:J5),"")</f>
        <v>0.29770983703300197</v>
      </c>
      <c r="K23" s="10">
        <f>IF(SUM('Balance Sheet (Input)'!K4:K5)&gt;0,'Profit &amp; Loss (Input)'!K12/SUM('Balance Sheet (Input)'!K4:K5),"")</f>
        <v>0.27878895405873633</v>
      </c>
    </row>
    <row r="24" spans="1:11" s="2" customFormat="1" x14ac:dyDescent="0.45">
      <c r="A24" s="2" t="s">
        <v>51</v>
      </c>
      <c r="B24" s="10"/>
      <c r="C24" s="10">
        <f>IF((B4+B5+B6+C4+C5+C6)&gt;0,('Profit &amp; Loss (Input)'!C10+'Profit &amp; Loss (Input)'!C9)*2/(B4+B5+B6+C4+C5+C6),"")</f>
        <v>0.30523384789559843</v>
      </c>
      <c r="D24" s="10">
        <f>IF((C4+C5+C6+D4+D5+D6)&gt;0,('Profit &amp; Loss (Input)'!D10+'Profit &amp; Loss (Input)'!D9)*2/(C4+C5+C6+D4+D5+D6),"")</f>
        <v>0.30275195101004443</v>
      </c>
      <c r="E24" s="10">
        <f>IF((D4+D5+D6+E4+E5+E6)&gt;0,('Profit &amp; Loss (Input)'!E10+'Profit &amp; Loss (Input)'!E9)*2/(D4+D5+D6+E4+E5+E6),"")</f>
        <v>0.3240292290041657</v>
      </c>
      <c r="F24" s="10">
        <f>IF((E4+E5+E6+F4+F5+F6)&gt;0,('Profit &amp; Loss (Input)'!F10+'Profit &amp; Loss (Input)'!F9)*2/(E4+E5+E6+F4+F5+F6),"")</f>
        <v>0.32847272107886338</v>
      </c>
      <c r="G24" s="10">
        <f>IF((F4+F5+F6+G4+G5+G6)&gt;0,('Profit &amp; Loss (Input)'!G10+'Profit &amp; Loss (Input)'!G9)*2/(F4+F5+F6+G4+G5+G6),"")</f>
        <v>0.3534946856529102</v>
      </c>
      <c r="H24" s="10">
        <f>IF((G4+G5+G6+H4+H5+H6)&gt;0,('Profit &amp; Loss (Input)'!H10+'Profit &amp; Loss (Input)'!H9)*2/(G4+G5+G6+H4+H5+H6),"")</f>
        <v>0.37304615384615386</v>
      </c>
      <c r="I24" s="10">
        <f>IF((H4+H5+H6+I4+I5+I6)&gt;0,('Profit &amp; Loss (Input)'!I10+'Profit &amp; Loss (Input)'!I9)*2/(H4+H5+H6+I4+I5+I6),"")</f>
        <v>0.40850908648878625</v>
      </c>
      <c r="J24" s="10">
        <f>IF((I4+I5+I6+J4+J5+J6)&gt;0,('Profit &amp; Loss (Input)'!J10+'Profit &amp; Loss (Input)'!J9)*2/(I4+I5+I6+J4+J5+J6),"")</f>
        <v>0.40468195869708795</v>
      </c>
      <c r="K24" s="10">
        <f>IF((J4+J5+J6+K4+K5+K6)&gt;0,('Profit &amp; Loss (Input)'!K10+'Profit &amp; Loss (Input)'!K9)*2/(J4+J5+J6+K4+K5+K6),"")</f>
        <v>0.37925393975663274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54835-914F-4790-B899-8BD66D08D725}">
  <sheetPr>
    <tabColor theme="2" tint="-0.499984740745262"/>
  </sheetPr>
  <dimension ref="E3:R33"/>
  <sheetViews>
    <sheetView topLeftCell="A2" zoomScale="92" workbookViewId="0">
      <selection activeCell="I11" sqref="I11"/>
    </sheetView>
  </sheetViews>
  <sheetFormatPr defaultRowHeight="14.25" x14ac:dyDescent="0.45"/>
  <cols>
    <col min="5" max="5" width="30.3984375" bestFit="1" customWidth="1"/>
    <col min="6" max="6" width="7.33203125" bestFit="1" customWidth="1"/>
    <col min="7" max="7" width="7.53125" bestFit="1" customWidth="1"/>
    <col min="8" max="17" width="9.1328125" bestFit="1" customWidth="1"/>
  </cols>
  <sheetData>
    <row r="3" spans="5:18" x14ac:dyDescent="0.45"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8"/>
    </row>
    <row r="4" spans="5:18" ht="14.65" thickBot="1" x14ac:dyDescent="0.5">
      <c r="F4" s="39"/>
      <c r="G4" s="39"/>
      <c r="H4" s="39"/>
      <c r="I4" s="39">
        <v>42795</v>
      </c>
      <c r="J4" s="39">
        <v>43160</v>
      </c>
      <c r="K4" s="39">
        <v>43525</v>
      </c>
      <c r="L4" s="39">
        <v>43891</v>
      </c>
      <c r="M4" s="39">
        <v>44256</v>
      </c>
      <c r="N4" s="39">
        <v>44621</v>
      </c>
      <c r="O4" s="39">
        <v>44986</v>
      </c>
      <c r="P4" s="39">
        <v>45352</v>
      </c>
      <c r="Q4" s="39">
        <v>45717</v>
      </c>
    </row>
    <row r="5" spans="5:18" ht="14.65" thickBot="1" x14ac:dyDescent="0.5">
      <c r="E5" s="40" t="s">
        <v>111</v>
      </c>
      <c r="F5" s="41"/>
      <c r="G5" s="41"/>
      <c r="H5" s="41"/>
      <c r="I5" s="41">
        <v>11531</v>
      </c>
      <c r="J5" s="41">
        <v>13218</v>
      </c>
      <c r="K5" s="41">
        <v>14841</v>
      </c>
      <c r="L5" s="41">
        <v>17003</v>
      </c>
      <c r="M5" s="41">
        <v>23224</v>
      </c>
      <c r="N5" s="41">
        <v>23885</v>
      </c>
      <c r="O5" s="41">
        <v>22467</v>
      </c>
      <c r="P5" s="41">
        <v>25210</v>
      </c>
      <c r="Q5" s="41">
        <v>35694</v>
      </c>
    </row>
    <row r="6" spans="5:18" x14ac:dyDescent="0.45">
      <c r="E6" s="42" t="s">
        <v>112</v>
      </c>
      <c r="F6" s="41"/>
      <c r="G6" s="41"/>
      <c r="H6" s="41"/>
      <c r="I6" s="41">
        <v>19340</v>
      </c>
      <c r="J6" s="41">
        <v>19963</v>
      </c>
      <c r="K6" s="41">
        <v>22126</v>
      </c>
      <c r="L6" s="41">
        <v>23920</v>
      </c>
      <c r="M6" s="41">
        <v>28845</v>
      </c>
      <c r="N6" s="41">
        <v>32921</v>
      </c>
      <c r="O6" s="41">
        <v>37605</v>
      </c>
      <c r="P6" s="41">
        <v>39523</v>
      </c>
      <c r="Q6" s="41">
        <v>41591</v>
      </c>
    </row>
    <row r="7" spans="5:18" x14ac:dyDescent="0.45">
      <c r="E7" s="43" t="s">
        <v>69</v>
      </c>
      <c r="F7" s="44"/>
      <c r="G7" s="44"/>
      <c r="H7" s="44"/>
      <c r="I7" s="44">
        <v>-1743</v>
      </c>
      <c r="J7" s="44">
        <v>-1523</v>
      </c>
      <c r="K7" s="44">
        <v>-2881</v>
      </c>
      <c r="L7" s="44">
        <v>-3861</v>
      </c>
      <c r="M7" s="44">
        <v>-1835</v>
      </c>
      <c r="N7" s="44">
        <v>-7937</v>
      </c>
      <c r="O7" s="44">
        <v>-7076</v>
      </c>
      <c r="P7" s="44">
        <v>-2667</v>
      </c>
      <c r="Q7" s="44">
        <v>-1769</v>
      </c>
    </row>
    <row r="8" spans="5:18" x14ac:dyDescent="0.45">
      <c r="E8" s="43" t="s">
        <v>113</v>
      </c>
      <c r="F8" s="45"/>
      <c r="G8" s="45"/>
      <c r="H8" s="45"/>
      <c r="I8" s="45">
        <v>-19</v>
      </c>
      <c r="J8" s="45">
        <v>328</v>
      </c>
      <c r="K8" s="45">
        <v>916</v>
      </c>
      <c r="L8" s="45">
        <v>-373</v>
      </c>
      <c r="M8" s="45">
        <v>-245</v>
      </c>
      <c r="N8" s="44">
        <v>1489</v>
      </c>
      <c r="O8" s="45">
        <v>-279</v>
      </c>
      <c r="P8" s="45">
        <v>91</v>
      </c>
      <c r="Q8" s="45">
        <v>176</v>
      </c>
    </row>
    <row r="9" spans="5:18" x14ac:dyDescent="0.45">
      <c r="E9" s="43" t="s">
        <v>114</v>
      </c>
      <c r="F9" s="44"/>
      <c r="G9" s="45"/>
      <c r="H9" s="44"/>
      <c r="I9" s="45">
        <v>0</v>
      </c>
      <c r="J9" s="45">
        <v>0</v>
      </c>
      <c r="K9" s="45">
        <v>0</v>
      </c>
      <c r="L9" s="45">
        <v>0</v>
      </c>
      <c r="M9" s="45">
        <v>-534</v>
      </c>
      <c r="N9" s="44">
        <v>-1914</v>
      </c>
      <c r="O9" s="44">
        <v>-3108</v>
      </c>
      <c r="P9" s="44">
        <v>-1172</v>
      </c>
      <c r="Q9" s="44">
        <v>-1024</v>
      </c>
    </row>
    <row r="10" spans="5:18" ht="14.65" thickBot="1" x14ac:dyDescent="0.5">
      <c r="E10" s="43" t="s">
        <v>115</v>
      </c>
      <c r="F10" s="44"/>
      <c r="G10" s="45"/>
      <c r="H10" s="45"/>
      <c r="I10" s="45">
        <v>-394</v>
      </c>
      <c r="J10" s="44">
        <v>1279</v>
      </c>
      <c r="K10" s="44">
        <v>1512</v>
      </c>
      <c r="L10" s="44">
        <v>1867</v>
      </c>
      <c r="M10" s="44">
        <v>3382</v>
      </c>
      <c r="N10" s="44">
        <v>6938</v>
      </c>
      <c r="O10" s="44">
        <v>4119</v>
      </c>
      <c r="P10" s="44">
        <v>-1334</v>
      </c>
      <c r="Q10" s="44">
        <v>2322</v>
      </c>
    </row>
    <row r="11" spans="5:18" x14ac:dyDescent="0.45">
      <c r="E11" s="42" t="s">
        <v>116</v>
      </c>
      <c r="F11" s="46"/>
      <c r="G11" s="46"/>
      <c r="H11" s="41"/>
      <c r="I11" s="41">
        <v>-2156</v>
      </c>
      <c r="J11" s="46">
        <v>84</v>
      </c>
      <c r="K11" s="46">
        <v>-453</v>
      </c>
      <c r="L11" s="41">
        <v>-2367</v>
      </c>
      <c r="M11" s="46">
        <v>768</v>
      </c>
      <c r="N11" s="41">
        <v>-1424</v>
      </c>
      <c r="O11" s="41">
        <v>-6344</v>
      </c>
      <c r="P11" s="41">
        <v>-5082</v>
      </c>
      <c r="Q11" s="46">
        <v>-295</v>
      </c>
    </row>
    <row r="12" spans="5:18" ht="14.65" thickBot="1" x14ac:dyDescent="0.5">
      <c r="E12" s="43" t="s">
        <v>117</v>
      </c>
      <c r="F12" s="44"/>
      <c r="G12" s="44"/>
      <c r="H12" s="44"/>
      <c r="I12" s="44">
        <v>-5653</v>
      </c>
      <c r="J12" s="44">
        <v>-6829</v>
      </c>
      <c r="K12" s="44">
        <v>-6832</v>
      </c>
      <c r="L12" s="44">
        <v>-4550</v>
      </c>
      <c r="M12" s="44">
        <v>-6389</v>
      </c>
      <c r="N12" s="44">
        <v>-7612</v>
      </c>
      <c r="O12" s="44">
        <v>-8794</v>
      </c>
      <c r="P12" s="44">
        <v>-9231</v>
      </c>
      <c r="Q12" s="44">
        <v>-5602</v>
      </c>
    </row>
    <row r="13" spans="5:18" x14ac:dyDescent="0.45">
      <c r="E13" s="49" t="s">
        <v>118</v>
      </c>
      <c r="F13" s="50"/>
      <c r="G13" s="51"/>
      <c r="H13" s="51"/>
      <c r="I13" s="50">
        <v>-14664</v>
      </c>
      <c r="J13" s="50">
        <v>4533</v>
      </c>
      <c r="K13" s="51">
        <v>-632</v>
      </c>
      <c r="L13" s="51">
        <v>-331</v>
      </c>
      <c r="M13" s="50">
        <v>-7373</v>
      </c>
      <c r="N13" s="50">
        <v>-6485</v>
      </c>
      <c r="O13" s="50">
        <v>-1071</v>
      </c>
      <c r="P13" s="50">
        <v>-5093</v>
      </c>
      <c r="Q13" s="50">
        <v>-1864</v>
      </c>
    </row>
    <row r="14" spans="5:18" x14ac:dyDescent="0.45">
      <c r="E14" s="52" t="s">
        <v>119</v>
      </c>
      <c r="F14" s="47"/>
      <c r="G14" s="47"/>
      <c r="H14" s="47"/>
      <c r="I14" s="47">
        <v>-2760</v>
      </c>
      <c r="J14" s="47">
        <v>-1998</v>
      </c>
      <c r="K14" s="47">
        <v>-2445</v>
      </c>
      <c r="L14" s="47">
        <v>-3307</v>
      </c>
      <c r="M14" s="47">
        <v>-2107</v>
      </c>
      <c r="N14" s="47">
        <v>-2161</v>
      </c>
      <c r="O14" s="47">
        <v>-2579</v>
      </c>
      <c r="P14" s="47">
        <v>-2201</v>
      </c>
      <c r="Q14" s="47">
        <v>-2237</v>
      </c>
    </row>
    <row r="15" spans="5:18" x14ac:dyDescent="0.45">
      <c r="E15" s="52" t="s">
        <v>120</v>
      </c>
      <c r="F15" s="48"/>
      <c r="G15" s="48"/>
      <c r="H15" s="48"/>
      <c r="I15" s="48">
        <v>0</v>
      </c>
      <c r="J15" s="48">
        <v>0</v>
      </c>
      <c r="K15" s="48">
        <v>0</v>
      </c>
      <c r="L15" s="48">
        <v>0</v>
      </c>
      <c r="M15" s="48">
        <v>0</v>
      </c>
      <c r="N15" s="48">
        <v>0</v>
      </c>
      <c r="O15" s="48">
        <v>0</v>
      </c>
      <c r="P15" s="48">
        <v>0</v>
      </c>
      <c r="Q15" s="48">
        <v>0</v>
      </c>
    </row>
    <row r="16" spans="5:18" x14ac:dyDescent="0.45">
      <c r="E16" s="52" t="s">
        <v>121</v>
      </c>
      <c r="F16" s="47"/>
      <c r="G16" s="47"/>
      <c r="H16" s="47"/>
      <c r="I16" s="47">
        <v>-66410</v>
      </c>
      <c r="J16" s="47">
        <v>-69159</v>
      </c>
      <c r="K16" s="47">
        <v>-79410</v>
      </c>
      <c r="L16" s="47">
        <v>-37482</v>
      </c>
      <c r="M16" s="47">
        <v>-46738</v>
      </c>
      <c r="N16" s="47">
        <v>-59951</v>
      </c>
      <c r="O16" s="47">
        <v>-75800</v>
      </c>
      <c r="P16" s="47">
        <v>-78118</v>
      </c>
      <c r="Q16" s="47">
        <v>-82753</v>
      </c>
    </row>
    <row r="17" spans="5:17" x14ac:dyDescent="0.45">
      <c r="E17" s="52" t="s">
        <v>122</v>
      </c>
      <c r="F17" s="47"/>
      <c r="G17" s="47"/>
      <c r="H17" s="47"/>
      <c r="I17" s="47">
        <v>52048</v>
      </c>
      <c r="J17" s="47">
        <v>74003</v>
      </c>
      <c r="K17" s="47">
        <v>78098</v>
      </c>
      <c r="L17" s="47">
        <v>38861</v>
      </c>
      <c r="M17" s="47">
        <v>40381</v>
      </c>
      <c r="N17" s="47">
        <v>57356</v>
      </c>
      <c r="O17" s="47">
        <v>76722</v>
      </c>
      <c r="P17" s="47">
        <v>72956</v>
      </c>
      <c r="Q17" s="47">
        <v>84888</v>
      </c>
    </row>
    <row r="18" spans="5:17" x14ac:dyDescent="0.45">
      <c r="E18" s="52" t="s">
        <v>123</v>
      </c>
      <c r="F18" s="47"/>
      <c r="G18" s="47"/>
      <c r="H18" s="47"/>
      <c r="I18" s="48">
        <v>0</v>
      </c>
      <c r="J18" s="48">
        <v>0</v>
      </c>
      <c r="K18" s="48">
        <v>0</v>
      </c>
      <c r="L18" s="48">
        <v>0</v>
      </c>
      <c r="M18" s="48">
        <v>0</v>
      </c>
      <c r="N18" s="48">
        <v>0</v>
      </c>
      <c r="O18" s="48">
        <v>0</v>
      </c>
      <c r="P18" s="48">
        <v>0</v>
      </c>
      <c r="Q18" s="48">
        <v>0</v>
      </c>
    </row>
    <row r="19" spans="5:17" x14ac:dyDescent="0.45">
      <c r="E19" s="52" t="s">
        <v>124</v>
      </c>
      <c r="F19" s="48"/>
      <c r="G19" s="48"/>
      <c r="H19" s="48"/>
      <c r="I19" s="47">
        <v>2753</v>
      </c>
      <c r="J19" s="47">
        <v>1768</v>
      </c>
      <c r="K19" s="47">
        <v>1557</v>
      </c>
      <c r="L19" s="47">
        <v>1929</v>
      </c>
      <c r="M19" s="47">
        <v>1418</v>
      </c>
      <c r="N19" s="47">
        <v>1898</v>
      </c>
      <c r="O19" s="47">
        <v>1525</v>
      </c>
      <c r="P19" s="47">
        <v>1768</v>
      </c>
      <c r="Q19" s="47">
        <v>2040</v>
      </c>
    </row>
    <row r="20" spans="5:17" x14ac:dyDescent="0.45">
      <c r="E20" s="52" t="s">
        <v>125</v>
      </c>
      <c r="F20" s="48"/>
      <c r="G20" s="47"/>
      <c r="H20" s="48"/>
      <c r="I20" s="48">
        <v>0</v>
      </c>
      <c r="J20" s="48">
        <v>0</v>
      </c>
      <c r="K20" s="48">
        <v>0</v>
      </c>
      <c r="L20" s="48">
        <v>0</v>
      </c>
      <c r="M20" s="48">
        <v>0</v>
      </c>
      <c r="N20" s="48">
        <v>0</v>
      </c>
      <c r="O20" s="48">
        <v>0</v>
      </c>
      <c r="P20" s="48">
        <v>0</v>
      </c>
      <c r="Q20" s="48">
        <v>0</v>
      </c>
    </row>
    <row r="21" spans="5:17" x14ac:dyDescent="0.45">
      <c r="E21" s="52" t="s">
        <v>137</v>
      </c>
      <c r="F21" s="48"/>
      <c r="G21" s="48"/>
      <c r="H21" s="48"/>
      <c r="I21" s="48">
        <v>-164</v>
      </c>
      <c r="J21" s="48">
        <v>-130</v>
      </c>
      <c r="K21" s="48">
        <v>-24</v>
      </c>
      <c r="L21" s="48">
        <v>-108</v>
      </c>
      <c r="M21" s="48">
        <v>0</v>
      </c>
      <c r="N21" s="48">
        <v>0</v>
      </c>
      <c r="O21" s="48">
        <v>0</v>
      </c>
      <c r="P21" s="48">
        <v>0</v>
      </c>
      <c r="Q21" s="48">
        <v>0</v>
      </c>
    </row>
    <row r="22" spans="5:17" ht="14.65" thickBot="1" x14ac:dyDescent="0.5">
      <c r="E22" s="52" t="s">
        <v>126</v>
      </c>
      <c r="F22" s="48"/>
      <c r="G22" s="48"/>
      <c r="H22" s="48"/>
      <c r="I22" s="48">
        <v>-131</v>
      </c>
      <c r="J22" s="48">
        <v>49</v>
      </c>
      <c r="K22" s="47">
        <v>1592</v>
      </c>
      <c r="L22" s="48">
        <v>-224</v>
      </c>
      <c r="M22" s="48">
        <v>-327</v>
      </c>
      <c r="N22" s="47">
        <v>-3627</v>
      </c>
      <c r="O22" s="48">
        <v>-939</v>
      </c>
      <c r="P22" s="48">
        <v>502</v>
      </c>
      <c r="Q22" s="47">
        <v>-3802</v>
      </c>
    </row>
    <row r="23" spans="5:17" x14ac:dyDescent="0.45">
      <c r="E23" s="40" t="s">
        <v>127</v>
      </c>
      <c r="F23" s="41"/>
      <c r="G23" s="41"/>
      <c r="H23" s="41"/>
      <c r="I23" s="41">
        <v>-6939</v>
      </c>
      <c r="J23" s="41">
        <v>-20505</v>
      </c>
      <c r="K23" s="41">
        <v>-14512</v>
      </c>
      <c r="L23" s="41">
        <v>-17591</v>
      </c>
      <c r="M23" s="41">
        <v>-9786</v>
      </c>
      <c r="N23" s="41">
        <v>-24642</v>
      </c>
      <c r="O23" s="41">
        <v>-26695</v>
      </c>
      <c r="P23" s="41">
        <v>-17504</v>
      </c>
      <c r="Q23" s="41">
        <v>-24161</v>
      </c>
    </row>
    <row r="24" spans="5:17" x14ac:dyDescent="0.45">
      <c r="E24" s="43" t="s">
        <v>128</v>
      </c>
      <c r="F24" s="45"/>
      <c r="G24" s="45"/>
      <c r="H24" s="45"/>
      <c r="I24" s="45">
        <v>0</v>
      </c>
      <c r="J24" s="45">
        <v>5</v>
      </c>
      <c r="K24" s="45">
        <v>6</v>
      </c>
      <c r="L24" s="45">
        <v>6</v>
      </c>
      <c r="M24" s="45">
        <v>15</v>
      </c>
      <c r="N24" s="45">
        <v>21</v>
      </c>
      <c r="O24" s="45">
        <v>35</v>
      </c>
      <c r="P24" s="45">
        <v>5</v>
      </c>
      <c r="Q24" s="45">
        <v>6</v>
      </c>
    </row>
    <row r="25" spans="5:17" x14ac:dyDescent="0.45">
      <c r="E25" s="43" t="s">
        <v>138</v>
      </c>
      <c r="F25" s="45"/>
      <c r="G25" s="45"/>
      <c r="H25" s="45"/>
      <c r="I25" s="45">
        <v>0</v>
      </c>
      <c r="J25" s="45">
        <v>0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0</v>
      </c>
      <c r="Q25" s="45">
        <v>-985</v>
      </c>
    </row>
    <row r="26" spans="5:17" x14ac:dyDescent="0.45">
      <c r="E26" s="43" t="s">
        <v>129</v>
      </c>
      <c r="F26" s="44"/>
      <c r="G26" s="44"/>
      <c r="H26" s="44"/>
      <c r="I26" s="44">
        <v>-6939</v>
      </c>
      <c r="J26" s="44">
        <v>-7464</v>
      </c>
      <c r="K26" s="44">
        <v>-13705</v>
      </c>
      <c r="L26" s="44">
        <v>-9548</v>
      </c>
      <c r="M26" s="44">
        <v>-9137</v>
      </c>
      <c r="N26" s="44">
        <v>-12731</v>
      </c>
      <c r="O26" s="44">
        <v>-13653</v>
      </c>
      <c r="P26" s="44">
        <v>-14731</v>
      </c>
      <c r="Q26" s="44">
        <v>-20289</v>
      </c>
    </row>
    <row r="27" spans="5:17" x14ac:dyDescent="0.45">
      <c r="E27" s="43" t="s">
        <v>130</v>
      </c>
      <c r="F27" s="45"/>
      <c r="G27" s="45"/>
      <c r="H27" s="45"/>
      <c r="I27" s="45">
        <v>0</v>
      </c>
      <c r="J27" s="45">
        <v>0</v>
      </c>
      <c r="K27" s="45">
        <v>0</v>
      </c>
      <c r="L27" s="45">
        <v>-571</v>
      </c>
      <c r="M27" s="45">
        <v>-698</v>
      </c>
      <c r="N27" s="45">
        <v>-915</v>
      </c>
      <c r="O27" s="44">
        <v>-1231</v>
      </c>
      <c r="P27" s="44">
        <v>-2024</v>
      </c>
      <c r="Q27" s="44">
        <v>-2355</v>
      </c>
    </row>
    <row r="28" spans="5:17" ht="14.65" thickBot="1" x14ac:dyDescent="0.5">
      <c r="E28" s="43" t="s">
        <v>131</v>
      </c>
      <c r="F28" s="45"/>
      <c r="G28" s="45"/>
      <c r="H28" s="45"/>
      <c r="I28" s="45">
        <v>0</v>
      </c>
      <c r="J28" s="44">
        <v>-13046</v>
      </c>
      <c r="K28" s="45">
        <v>-813</v>
      </c>
      <c r="L28" s="44">
        <v>-7478</v>
      </c>
      <c r="M28" s="45">
        <v>34</v>
      </c>
      <c r="N28" s="44">
        <v>-11017</v>
      </c>
      <c r="O28" s="44">
        <v>-11846</v>
      </c>
      <c r="P28" s="45">
        <v>-754</v>
      </c>
      <c r="Q28" s="45">
        <v>-538</v>
      </c>
    </row>
    <row r="29" spans="5:17" x14ac:dyDescent="0.45">
      <c r="E29" s="49" t="s">
        <v>35</v>
      </c>
      <c r="F29" s="50"/>
      <c r="G29" s="50"/>
      <c r="H29" s="50"/>
      <c r="I29" s="50">
        <v>-10072</v>
      </c>
      <c r="J29" s="50">
        <v>-2754</v>
      </c>
      <c r="K29" s="51">
        <v>-303</v>
      </c>
      <c r="L29" s="51">
        <v>-919</v>
      </c>
      <c r="M29" s="50">
        <v>6065</v>
      </c>
      <c r="N29" s="50">
        <v>-7242</v>
      </c>
      <c r="O29" s="50">
        <v>-5299</v>
      </c>
      <c r="P29" s="50">
        <v>2613</v>
      </c>
      <c r="Q29" s="50">
        <v>9669</v>
      </c>
    </row>
    <row r="30" spans="5:17" x14ac:dyDescent="0.45">
      <c r="E30" s="43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</row>
    <row r="31" spans="5:17" x14ac:dyDescent="0.45">
      <c r="E31" s="43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</row>
    <row r="32" spans="5:17" ht="14.65" thickBot="1" x14ac:dyDescent="0.5">
      <c r="E32" s="43"/>
      <c r="F32" s="45"/>
      <c r="G32" s="45"/>
      <c r="H32" s="45"/>
      <c r="I32" s="45"/>
      <c r="J32" s="44"/>
      <c r="K32" s="45"/>
      <c r="L32" s="44"/>
      <c r="M32" s="45"/>
      <c r="N32" s="44"/>
      <c r="O32" s="44"/>
      <c r="P32" s="45"/>
      <c r="Q32" s="45"/>
    </row>
    <row r="33" spans="5:17" x14ac:dyDescent="0.45">
      <c r="E33" s="49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8C35C-AD6E-4EE3-90DD-CF567B06393E}">
  <sheetPr>
    <tabColor rgb="FF002060"/>
  </sheetPr>
  <dimension ref="A2:L96"/>
  <sheetViews>
    <sheetView showGridLines="0" zoomScale="103" workbookViewId="0">
      <pane ySplit="3" topLeftCell="A42" activePane="bottomLeft" state="frozen"/>
      <selection pane="bottomLeft" activeCell="A24" sqref="A24:XFD24"/>
    </sheetView>
  </sheetViews>
  <sheetFormatPr defaultRowHeight="14.25" outlineLevelRow="1" x14ac:dyDescent="0.45"/>
  <cols>
    <col min="1" max="1" width="1.9296875" customWidth="1"/>
    <col min="2" max="2" width="31.19921875" customWidth="1"/>
    <col min="3" max="6" width="11.3984375" bestFit="1" customWidth="1"/>
    <col min="7" max="7" width="11.59765625" bestFit="1" customWidth="1"/>
    <col min="8" max="11" width="11.6640625" bestFit="1" customWidth="1"/>
    <col min="12" max="12" width="11.59765625" bestFit="1" customWidth="1"/>
  </cols>
  <sheetData>
    <row r="2" spans="1:12" x14ac:dyDescent="0.45">
      <c r="B2" s="116" t="s">
        <v>169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</row>
    <row r="3" spans="1:12" x14ac:dyDescent="0.45">
      <c r="B3" s="21" t="s">
        <v>81</v>
      </c>
      <c r="C3" s="22">
        <f>'Data (Input)'!C16</f>
        <v>42825</v>
      </c>
      <c r="D3" s="22">
        <f>'Data (Input)'!D16</f>
        <v>43190</v>
      </c>
      <c r="E3" s="22">
        <f>'Data (Input)'!E16</f>
        <v>43555</v>
      </c>
      <c r="F3" s="22">
        <f>'Data (Input)'!F16</f>
        <v>43921</v>
      </c>
      <c r="G3" s="22">
        <f>'Data (Input)'!G16</f>
        <v>44286</v>
      </c>
      <c r="H3" s="22">
        <f>'Data (Input)'!H16</f>
        <v>44651</v>
      </c>
      <c r="I3" s="22">
        <f>'Data (Input)'!I16</f>
        <v>45016</v>
      </c>
      <c r="J3" s="22">
        <f>'Data (Input)'!J16</f>
        <v>45382</v>
      </c>
      <c r="K3" s="22">
        <f>'Data (Input)'!K16</f>
        <v>45747</v>
      </c>
      <c r="L3" s="25" t="s">
        <v>82</v>
      </c>
    </row>
    <row r="5" spans="1:12" x14ac:dyDescent="0.45">
      <c r="A5" t="s">
        <v>84</v>
      </c>
      <c r="B5" s="24" t="s">
        <v>83</v>
      </c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 outlineLevel="1" x14ac:dyDescent="0.45"/>
    <row r="7" spans="1:12" outlineLevel="1" x14ac:dyDescent="0.45">
      <c r="B7" t="s">
        <v>6</v>
      </c>
      <c r="C7" s="31">
        <f>IFERROR('Data (Input)'!C17,0)</f>
        <v>68484</v>
      </c>
      <c r="D7" s="31">
        <f>IFERROR('Data (Input)'!D17,0)</f>
        <v>70522</v>
      </c>
      <c r="E7" s="31">
        <f>IFERROR('Data (Input)'!E17,0)</f>
        <v>82675</v>
      </c>
      <c r="F7" s="31">
        <f>IFERROR('Data (Input)'!F17,0)</f>
        <v>90791</v>
      </c>
      <c r="G7" s="31">
        <f>IFERROR('Data (Input)'!G17,0)</f>
        <v>100472</v>
      </c>
      <c r="H7" s="31">
        <f>IFERROR('Data (Input)'!H17,0)</f>
        <v>121641</v>
      </c>
      <c r="I7" s="31">
        <f>IFERROR('Data (Input)'!I17,0)</f>
        <v>146767</v>
      </c>
      <c r="J7" s="31">
        <f>IFERROR('Data (Input)'!J17,0)</f>
        <v>153670</v>
      </c>
      <c r="K7" s="31">
        <f>IFERROR('Data (Input)'!K17,0)</f>
        <v>162990</v>
      </c>
      <c r="L7" s="31">
        <f>IFERROR(SUM('Data (Input)'!H42:K42),0)</f>
        <v>173173</v>
      </c>
    </row>
    <row r="8" spans="1:12" outlineLevel="1" x14ac:dyDescent="0.45">
      <c r="B8" s="29" t="s">
        <v>144</v>
      </c>
      <c r="C8" s="32" t="s">
        <v>101</v>
      </c>
      <c r="D8" s="32">
        <f>D7/C7-1</f>
        <v>2.9758775772443125E-2</v>
      </c>
      <c r="E8" s="32">
        <f t="shared" ref="E8:L8" si="0">E7/D7-1</f>
        <v>0.17232920223476356</v>
      </c>
      <c r="F8" s="32">
        <f t="shared" si="0"/>
        <v>9.8167523435137571E-2</v>
      </c>
      <c r="G8" s="32">
        <f t="shared" si="0"/>
        <v>0.10662951173574475</v>
      </c>
      <c r="H8" s="32">
        <f t="shared" si="0"/>
        <v>0.21069551715900947</v>
      </c>
      <c r="I8" s="32">
        <f t="shared" si="0"/>
        <v>0.20655864387829759</v>
      </c>
      <c r="J8" s="32">
        <f t="shared" si="0"/>
        <v>4.7033733741236095E-2</v>
      </c>
      <c r="K8" s="32">
        <f t="shared" si="0"/>
        <v>6.0649443612936782E-2</v>
      </c>
      <c r="L8" s="32">
        <f t="shared" si="0"/>
        <v>6.2476225535308849E-2</v>
      </c>
    </row>
    <row r="9" spans="1:12" outlineLevel="1" x14ac:dyDescent="0.45">
      <c r="C9" s="31"/>
      <c r="D9" s="37"/>
      <c r="E9" s="37"/>
      <c r="F9" s="37"/>
      <c r="G9" s="37"/>
      <c r="H9" s="37"/>
      <c r="I9" s="37"/>
      <c r="J9" s="37"/>
      <c r="K9" s="37"/>
      <c r="L9" s="37"/>
    </row>
    <row r="10" spans="1:12" outlineLevel="1" x14ac:dyDescent="0.45">
      <c r="B10" t="s">
        <v>85</v>
      </c>
      <c r="C10" s="31">
        <f>IFERROR(SUM('Data (Input)'!C20:C22),0)</f>
        <v>44609</v>
      </c>
      <c r="D10" s="31">
        <f>IFERROR(SUM('Data (Input)'!D20:D22),0)</f>
        <v>46395</v>
      </c>
      <c r="E10" s="31">
        <f>IFERROR(SUM('Data (Input)'!E20:E22),0)</f>
        <v>55446</v>
      </c>
      <c r="F10" s="31">
        <f>IFERROR(SUM('Data (Input)'!F20:F22),0)</f>
        <v>62210</v>
      </c>
      <c r="G10" s="31">
        <f>IFERROR(SUM('Data (Input)'!G20:G22),0)</f>
        <v>68490</v>
      </c>
      <c r="H10" s="31">
        <f>IFERROR(SUM('Data (Input)'!H20:H22),0)</f>
        <v>84819</v>
      </c>
      <c r="I10" s="31">
        <f>IFERROR(SUM('Data (Input)'!I20:I22),0)</f>
        <v>104880</v>
      </c>
      <c r="J10" s="31">
        <f>IFERROR(SUM('Data (Input)'!J20:J22),0)</f>
        <v>110030</v>
      </c>
      <c r="K10" s="31">
        <f>IFERROR(SUM('Data (Input)'!K20:K22),0)</f>
        <v>116585</v>
      </c>
      <c r="L10" s="31">
        <f>IFERROR(SUM('Data (Input)'!H43:K43),0)</f>
        <v>132187</v>
      </c>
    </row>
    <row r="11" spans="1:12" outlineLevel="1" x14ac:dyDescent="0.45">
      <c r="B11" s="29" t="s">
        <v>86</v>
      </c>
      <c r="C11" s="32">
        <f>C10/C7</f>
        <v>0.65137842415746738</v>
      </c>
      <c r="D11" s="32">
        <f t="shared" ref="D11:L11" si="1">D10/D7</f>
        <v>0.65787981055557132</v>
      </c>
      <c r="E11" s="32">
        <f t="shared" si="1"/>
        <v>0.67065013607499246</v>
      </c>
      <c r="F11" s="32">
        <f t="shared" si="1"/>
        <v>0.68520007489729162</v>
      </c>
      <c r="G11" s="32">
        <f t="shared" si="1"/>
        <v>0.68168245879448996</v>
      </c>
      <c r="H11" s="32">
        <f t="shared" si="1"/>
        <v>0.69728956519594543</v>
      </c>
      <c r="I11" s="32">
        <f t="shared" si="1"/>
        <v>0.71460205632056251</v>
      </c>
      <c r="J11" s="32">
        <f t="shared" si="1"/>
        <v>0.71601483698835167</v>
      </c>
      <c r="K11" s="32">
        <f t="shared" si="1"/>
        <v>0.71528928155101545</v>
      </c>
      <c r="L11" s="32">
        <f t="shared" si="1"/>
        <v>0.76332338182049164</v>
      </c>
    </row>
    <row r="12" spans="1:12" outlineLevel="1" x14ac:dyDescent="0.45">
      <c r="C12" s="33"/>
      <c r="D12" s="33"/>
      <c r="E12" s="33"/>
      <c r="F12" s="33"/>
      <c r="G12" s="33"/>
      <c r="H12" s="33"/>
      <c r="I12" s="33"/>
      <c r="J12" s="33"/>
      <c r="K12" s="33"/>
      <c r="L12" s="33"/>
    </row>
    <row r="13" spans="1:12" outlineLevel="1" x14ac:dyDescent="0.45">
      <c r="B13" s="26" t="s">
        <v>87</v>
      </c>
      <c r="C13" s="34">
        <f>IFERROR(C7-C10,0)</f>
        <v>23875</v>
      </c>
      <c r="D13" s="34">
        <f t="shared" ref="D13:L13" si="2">IFERROR(D7-D10,0)</f>
        <v>24127</v>
      </c>
      <c r="E13" s="34">
        <f t="shared" si="2"/>
        <v>27229</v>
      </c>
      <c r="F13" s="34">
        <f t="shared" si="2"/>
        <v>28581</v>
      </c>
      <c r="G13" s="34">
        <f t="shared" si="2"/>
        <v>31982</v>
      </c>
      <c r="H13" s="34">
        <f t="shared" si="2"/>
        <v>36822</v>
      </c>
      <c r="I13" s="34">
        <f t="shared" si="2"/>
        <v>41887</v>
      </c>
      <c r="J13" s="34">
        <f t="shared" si="2"/>
        <v>43640</v>
      </c>
      <c r="K13" s="34">
        <f t="shared" si="2"/>
        <v>46405</v>
      </c>
      <c r="L13" s="34">
        <f t="shared" si="2"/>
        <v>40986</v>
      </c>
    </row>
    <row r="14" spans="1:12" outlineLevel="1" x14ac:dyDescent="0.45">
      <c r="B14" s="30" t="s">
        <v>88</v>
      </c>
      <c r="C14" s="35">
        <f>C13/C7</f>
        <v>0.34862157584253256</v>
      </c>
      <c r="D14" s="35">
        <f t="shared" ref="D14:L14" si="3">D13/D7</f>
        <v>0.34212018944442868</v>
      </c>
      <c r="E14" s="35">
        <f t="shared" si="3"/>
        <v>0.32934986392500754</v>
      </c>
      <c r="F14" s="35">
        <f t="shared" si="3"/>
        <v>0.31479992510270843</v>
      </c>
      <c r="G14" s="35">
        <f t="shared" si="3"/>
        <v>0.31831754120550998</v>
      </c>
      <c r="H14" s="35">
        <f t="shared" si="3"/>
        <v>0.30271043480405457</v>
      </c>
      <c r="I14" s="35">
        <f t="shared" si="3"/>
        <v>0.28539794367943749</v>
      </c>
      <c r="J14" s="35">
        <f t="shared" si="3"/>
        <v>0.28398516301164833</v>
      </c>
      <c r="K14" s="35">
        <f t="shared" si="3"/>
        <v>0.2847107184489846</v>
      </c>
      <c r="L14" s="35">
        <f t="shared" si="3"/>
        <v>0.23667661817950836</v>
      </c>
    </row>
    <row r="15" spans="1:12" outlineLevel="1" x14ac:dyDescent="0.45">
      <c r="C15" s="33"/>
      <c r="D15" s="33"/>
      <c r="E15" s="33"/>
      <c r="F15" s="33"/>
      <c r="G15" s="33"/>
      <c r="H15" s="33"/>
      <c r="I15" s="33"/>
      <c r="J15" s="33"/>
      <c r="K15" s="33"/>
      <c r="L15" s="33"/>
    </row>
    <row r="16" spans="1:12" outlineLevel="1" x14ac:dyDescent="0.45">
      <c r="B16" t="s">
        <v>89</v>
      </c>
      <c r="C16" s="31">
        <f>IFERROR(SUM('Data (Input)'!C23:C24),0)</f>
        <v>5271</v>
      </c>
      <c r="D16" s="31">
        <f>IFERROR(SUM('Data (Input)'!D23:D24),0)</f>
        <v>5305</v>
      </c>
      <c r="E16" s="31">
        <f>IFERROR(SUM('Data (Input)'!E23:E24),0)</f>
        <v>7059</v>
      </c>
      <c r="F16" s="31">
        <f>IFERROR(SUM('Data (Input)'!F23:F24),0)</f>
        <v>6314</v>
      </c>
      <c r="G16" s="31">
        <f>IFERROR(SUM('Data (Input)'!G23:G24),0)</f>
        <v>4093</v>
      </c>
      <c r="H16" s="31">
        <f>IFERROR(SUM('Data (Input)'!H23:H24),0)</f>
        <v>5331</v>
      </c>
      <c r="I16" s="31">
        <f>IFERROR(SUM('Data (Input)'!I23:I24),0)</f>
        <v>6757</v>
      </c>
      <c r="J16" s="31">
        <f>IFERROR(SUM('Data (Input)'!J23:J24),0)</f>
        <v>7215</v>
      </c>
      <c r="K16" s="31">
        <f>IFERROR(SUM('Data (Input)'!K23:K24),0)</f>
        <v>7169</v>
      </c>
      <c r="L16" s="31"/>
    </row>
    <row r="17" spans="2:12" outlineLevel="1" x14ac:dyDescent="0.45">
      <c r="B17" s="30" t="s">
        <v>90</v>
      </c>
      <c r="C17" s="35">
        <f>C16/C7</f>
        <v>7.6966882775538814E-2</v>
      </c>
      <c r="D17" s="35">
        <f t="shared" ref="D17:K17" si="4">D16/D7</f>
        <v>7.5224752559484978E-2</v>
      </c>
      <c r="E17" s="35">
        <f t="shared" si="4"/>
        <v>8.5382521923193233E-2</v>
      </c>
      <c r="F17" s="35">
        <f t="shared" si="4"/>
        <v>6.9544338095185648E-2</v>
      </c>
      <c r="G17" s="35">
        <f t="shared" si="4"/>
        <v>4.0737717971176049E-2</v>
      </c>
      <c r="H17" s="35">
        <f t="shared" si="4"/>
        <v>4.3825683774385282E-2</v>
      </c>
      <c r="I17" s="35">
        <f t="shared" si="4"/>
        <v>4.6038959711651804E-2</v>
      </c>
      <c r="J17" s="35">
        <f t="shared" si="4"/>
        <v>4.6951259191774584E-2</v>
      </c>
      <c r="K17" s="35">
        <f t="shared" si="4"/>
        <v>4.3984293514939564E-2</v>
      </c>
      <c r="L17" s="36"/>
    </row>
    <row r="18" spans="2:12" outlineLevel="1" x14ac:dyDescent="0.45">
      <c r="C18" s="33"/>
      <c r="D18" s="33"/>
      <c r="E18" s="33"/>
      <c r="F18" s="33"/>
      <c r="G18" s="33"/>
      <c r="H18" s="33"/>
      <c r="I18" s="33"/>
      <c r="J18" s="33"/>
      <c r="K18" s="33"/>
      <c r="L18" s="33"/>
    </row>
    <row r="19" spans="2:12" outlineLevel="1" x14ac:dyDescent="0.45">
      <c r="B19" s="26" t="s">
        <v>91</v>
      </c>
      <c r="C19" s="34">
        <f>IFERROR(C13-C16,0)</f>
        <v>18604</v>
      </c>
      <c r="D19" s="34">
        <f t="shared" ref="D19:K19" si="5">IFERROR(D13-D16,0)</f>
        <v>18822</v>
      </c>
      <c r="E19" s="34">
        <f t="shared" si="5"/>
        <v>20170</v>
      </c>
      <c r="F19" s="34">
        <f t="shared" si="5"/>
        <v>22267</v>
      </c>
      <c r="G19" s="34">
        <f t="shared" si="5"/>
        <v>27889</v>
      </c>
      <c r="H19" s="34">
        <f t="shared" si="5"/>
        <v>31491</v>
      </c>
      <c r="I19" s="34">
        <f t="shared" si="5"/>
        <v>35130</v>
      </c>
      <c r="J19" s="34">
        <f t="shared" si="5"/>
        <v>36425</v>
      </c>
      <c r="K19" s="34">
        <f t="shared" si="5"/>
        <v>39236</v>
      </c>
      <c r="L19" s="34">
        <f>IFERROR(L13-L16,0)</f>
        <v>40986</v>
      </c>
    </row>
    <row r="20" spans="2:12" outlineLevel="1" x14ac:dyDescent="0.45">
      <c r="B20" s="30" t="s">
        <v>92</v>
      </c>
      <c r="C20" s="35">
        <f>C19/C7</f>
        <v>0.27165469306699375</v>
      </c>
      <c r="D20" s="35">
        <f t="shared" ref="D20:L20" si="6">D19/D7</f>
        <v>0.26689543688494372</v>
      </c>
      <c r="E20" s="35">
        <f t="shared" si="6"/>
        <v>0.24396734200181433</v>
      </c>
      <c r="F20" s="35">
        <f t="shared" si="6"/>
        <v>0.24525558700752279</v>
      </c>
      <c r="G20" s="35">
        <f t="shared" si="6"/>
        <v>0.27757982323433394</v>
      </c>
      <c r="H20" s="35">
        <f t="shared" si="6"/>
        <v>0.25888475102966929</v>
      </c>
      <c r="I20" s="35">
        <f t="shared" si="6"/>
        <v>0.23935898396778568</v>
      </c>
      <c r="J20" s="35">
        <f t="shared" si="6"/>
        <v>0.23703390381987374</v>
      </c>
      <c r="K20" s="35">
        <f t="shared" si="6"/>
        <v>0.24072642493404503</v>
      </c>
      <c r="L20" s="35">
        <f t="shared" si="6"/>
        <v>0.23667661817950836</v>
      </c>
    </row>
    <row r="21" spans="2:12" outlineLevel="1" x14ac:dyDescent="0.45">
      <c r="C21" s="33"/>
      <c r="D21" s="33"/>
      <c r="E21" s="33"/>
      <c r="F21" s="33"/>
      <c r="G21" s="33"/>
      <c r="H21" s="33"/>
      <c r="I21" s="33"/>
      <c r="J21" s="33"/>
      <c r="K21" s="33"/>
      <c r="L21" s="33"/>
    </row>
    <row r="22" spans="2:12" outlineLevel="1" x14ac:dyDescent="0.45">
      <c r="B22" t="s">
        <v>10</v>
      </c>
      <c r="C22" s="31">
        <f>IFERROR('Data (Input)'!C26,0)</f>
        <v>1703</v>
      </c>
      <c r="D22" s="31">
        <f>IFERROR('Data (Input)'!D26,0)</f>
        <v>1863</v>
      </c>
      <c r="E22" s="31">
        <f>IFERROR('Data (Input)'!E26,0)</f>
        <v>2011</v>
      </c>
      <c r="F22" s="31">
        <f>IFERROR('Data (Input)'!F26,0)</f>
        <v>2893</v>
      </c>
      <c r="G22" s="31">
        <f>IFERROR('Data (Input)'!G26,0)</f>
        <v>3267</v>
      </c>
      <c r="H22" s="31">
        <f>IFERROR('Data (Input)'!H26,0)</f>
        <v>3476</v>
      </c>
      <c r="I22" s="31">
        <f>IFERROR('Data (Input)'!I26,0)</f>
        <v>4225</v>
      </c>
      <c r="J22" s="31">
        <f>IFERROR('Data (Input)'!J26,0)</f>
        <v>4678</v>
      </c>
      <c r="K22" s="31">
        <f>IFERROR('Data (Input)'!K26,0)</f>
        <v>4812</v>
      </c>
      <c r="L22" s="31">
        <f>IFERROR(SUM('Data (Input)'!H45:K45),0)</f>
        <v>4776</v>
      </c>
    </row>
    <row r="23" spans="2:12" outlineLevel="1" x14ac:dyDescent="0.45">
      <c r="C23" s="33"/>
      <c r="D23" s="33"/>
      <c r="E23" s="33"/>
      <c r="F23" s="33"/>
      <c r="G23" s="33"/>
      <c r="H23" s="33"/>
      <c r="I23" s="33"/>
      <c r="J23" s="33"/>
      <c r="K23" s="33"/>
      <c r="L23" s="33"/>
    </row>
    <row r="24" spans="2:12" outlineLevel="1" x14ac:dyDescent="0.45">
      <c r="B24" s="26" t="s">
        <v>93</v>
      </c>
      <c r="C24" s="34">
        <f>IFERROR(C19-C22,0)</f>
        <v>16901</v>
      </c>
      <c r="D24" s="34">
        <f t="shared" ref="D24:K24" si="7">IFERROR(D19-D22,0)</f>
        <v>16959</v>
      </c>
      <c r="E24" s="34">
        <f t="shared" si="7"/>
        <v>18159</v>
      </c>
      <c r="F24" s="34">
        <f t="shared" si="7"/>
        <v>19374</v>
      </c>
      <c r="G24" s="34">
        <f t="shared" si="7"/>
        <v>24622</v>
      </c>
      <c r="H24" s="34">
        <f t="shared" si="7"/>
        <v>28015</v>
      </c>
      <c r="I24" s="34">
        <f t="shared" si="7"/>
        <v>30905</v>
      </c>
      <c r="J24" s="34">
        <f t="shared" si="7"/>
        <v>31747</v>
      </c>
      <c r="K24" s="34">
        <f t="shared" si="7"/>
        <v>34424</v>
      </c>
      <c r="L24" s="34">
        <f>IFERROR(L19-L22,0)</f>
        <v>36210</v>
      </c>
    </row>
    <row r="25" spans="2:12" outlineLevel="1" x14ac:dyDescent="0.45">
      <c r="B25" t="s">
        <v>9</v>
      </c>
      <c r="C25" s="31">
        <f>IFERROR('Data (Input)'!C25,0)</f>
        <v>3050</v>
      </c>
      <c r="D25" s="31">
        <f>IFERROR('Data (Input)'!D25,0)</f>
        <v>3311</v>
      </c>
      <c r="E25" s="31">
        <f>IFERROR('Data (Input)'!E25,0)</f>
        <v>2882</v>
      </c>
      <c r="F25" s="31">
        <f>IFERROR('Data (Input)'!F25,0)</f>
        <v>2803</v>
      </c>
      <c r="G25" s="31">
        <f>IFERROR('Data (Input)'!G25,0)</f>
        <v>2201</v>
      </c>
      <c r="H25" s="31">
        <f>IFERROR('Data (Input)'!H25,0)</f>
        <v>2295</v>
      </c>
      <c r="I25" s="31">
        <f>IFERROR('Data (Input)'!I25,0)</f>
        <v>2701</v>
      </c>
      <c r="J25" s="31">
        <f>IFERROR('Data (Input)'!J25,0)</f>
        <v>4711</v>
      </c>
      <c r="K25" s="31">
        <f>IFERROR('Data (Input)'!K25,0)</f>
        <v>3600</v>
      </c>
      <c r="L25" s="31">
        <f>IFERROR(SUM('Data (Input)'!H44:K44),0)</f>
        <v>3064</v>
      </c>
    </row>
    <row r="26" spans="2:12" outlineLevel="1" x14ac:dyDescent="0.45">
      <c r="B26" t="s">
        <v>11</v>
      </c>
      <c r="C26" s="31">
        <f>IFERROR('Data (Input)'!C27,0)</f>
        <v>0</v>
      </c>
      <c r="D26" s="31">
        <f>IFERROR('Data (Input)'!D27,0)</f>
        <v>0</v>
      </c>
      <c r="E26" s="31">
        <f>IFERROR('Data (Input)'!E27,0)</f>
        <v>0</v>
      </c>
      <c r="F26" s="31">
        <f>IFERROR('Data (Input)'!F27,0)</f>
        <v>170</v>
      </c>
      <c r="G26" s="31">
        <f>IFERROR('Data (Input)'!G27,0)</f>
        <v>195</v>
      </c>
      <c r="H26" s="31">
        <f>IFERROR('Data (Input)'!H27,0)</f>
        <v>200</v>
      </c>
      <c r="I26" s="31">
        <f>IFERROR('Data (Input)'!I27,0)</f>
        <v>284</v>
      </c>
      <c r="J26" s="31">
        <f>IFERROR('Data (Input)'!J27,0)</f>
        <v>470</v>
      </c>
      <c r="K26" s="31">
        <f>IFERROR('Data (Input)'!K27,0)</f>
        <v>416</v>
      </c>
      <c r="L26" s="31">
        <f>IFERROR(SUM('Data (Input)'!H46:K46),0)</f>
        <v>413</v>
      </c>
    </row>
    <row r="27" spans="2:12" outlineLevel="1" x14ac:dyDescent="0.45">
      <c r="C27" s="33"/>
      <c r="D27" s="33"/>
      <c r="E27" s="33"/>
      <c r="F27" s="33"/>
      <c r="G27" s="33"/>
      <c r="H27" s="33"/>
      <c r="I27" s="33"/>
      <c r="J27" s="33"/>
      <c r="K27" s="33"/>
      <c r="L27" s="33"/>
    </row>
    <row r="28" spans="2:12" outlineLevel="1" x14ac:dyDescent="0.45">
      <c r="B28" s="26" t="s">
        <v>94</v>
      </c>
      <c r="C28" s="34">
        <f>IFERROR(C24+C25-C26,0)</f>
        <v>19951</v>
      </c>
      <c r="D28" s="34">
        <f t="shared" ref="D28:L28" si="8">IFERROR(D24+D25-D26,0)</f>
        <v>20270</v>
      </c>
      <c r="E28" s="34">
        <f t="shared" si="8"/>
        <v>21041</v>
      </c>
      <c r="F28" s="34">
        <f t="shared" si="8"/>
        <v>22007</v>
      </c>
      <c r="G28" s="34">
        <f t="shared" si="8"/>
        <v>26628</v>
      </c>
      <c r="H28" s="34">
        <f t="shared" si="8"/>
        <v>30110</v>
      </c>
      <c r="I28" s="34">
        <f t="shared" si="8"/>
        <v>33322</v>
      </c>
      <c r="J28" s="34">
        <f t="shared" si="8"/>
        <v>35988</v>
      </c>
      <c r="K28" s="34">
        <f t="shared" si="8"/>
        <v>37608</v>
      </c>
      <c r="L28" s="34">
        <f t="shared" si="8"/>
        <v>38861</v>
      </c>
    </row>
    <row r="29" spans="2:12" outlineLevel="1" x14ac:dyDescent="0.45">
      <c r="C29" s="33"/>
      <c r="D29" s="33"/>
      <c r="E29" s="33"/>
      <c r="F29" s="33"/>
      <c r="G29" s="33"/>
      <c r="H29" s="33"/>
      <c r="I29" s="33"/>
      <c r="J29" s="33"/>
      <c r="K29" s="33"/>
      <c r="L29" s="33"/>
    </row>
    <row r="30" spans="2:12" outlineLevel="1" x14ac:dyDescent="0.45">
      <c r="B30" t="s">
        <v>13</v>
      </c>
      <c r="C30" s="31">
        <f>IFERROR('Data (Input)'!C29,0)</f>
        <v>5598</v>
      </c>
      <c r="D30" s="31">
        <f>IFERROR('Data (Input)'!D29,0)</f>
        <v>4241</v>
      </c>
      <c r="E30" s="31">
        <f>IFERROR('Data (Input)'!E29,0)</f>
        <v>5631</v>
      </c>
      <c r="F30" s="31">
        <f>IFERROR('Data (Input)'!F29,0)</f>
        <v>5368</v>
      </c>
      <c r="G30" s="31">
        <f>IFERROR('Data (Input)'!G29,0)</f>
        <v>7205</v>
      </c>
      <c r="H30" s="31">
        <f>IFERROR('Data (Input)'!H29,0)</f>
        <v>7964</v>
      </c>
      <c r="I30" s="31">
        <f>IFERROR('Data (Input)'!I29,0)</f>
        <v>9214</v>
      </c>
      <c r="J30" s="31">
        <f>IFERROR('Data (Input)'!J29,0)</f>
        <v>9740</v>
      </c>
      <c r="K30" s="31">
        <f>IFERROR('Data (Input)'!K29,0)</f>
        <v>10858</v>
      </c>
      <c r="L30" s="31">
        <f>IFERROR(SUM('Data (Input)'!H48:K48),0)</f>
        <v>10858</v>
      </c>
    </row>
    <row r="31" spans="2:12" outlineLevel="1" x14ac:dyDescent="0.45">
      <c r="B31" s="30" t="s">
        <v>95</v>
      </c>
      <c r="C31" s="35">
        <f>C30/C28</f>
        <v>0.28058743922610396</v>
      </c>
      <c r="D31" s="35">
        <f t="shared" ref="D31:L31" si="9">D30/D28</f>
        <v>0.20922545633941786</v>
      </c>
      <c r="E31" s="35">
        <f t="shared" si="9"/>
        <v>0.26762036024903757</v>
      </c>
      <c r="F31" s="35">
        <f t="shared" si="9"/>
        <v>0.24392238833098559</v>
      </c>
      <c r="G31" s="35">
        <f t="shared" si="9"/>
        <v>0.27057984076911523</v>
      </c>
      <c r="H31" s="35">
        <f t="shared" si="9"/>
        <v>0.26449684490202591</v>
      </c>
      <c r="I31" s="35">
        <f t="shared" si="9"/>
        <v>0.27651401476502013</v>
      </c>
      <c r="J31" s="35">
        <f t="shared" si="9"/>
        <v>0.27064577081249308</v>
      </c>
      <c r="K31" s="35">
        <f t="shared" si="9"/>
        <v>0.28871516698574773</v>
      </c>
      <c r="L31" s="35">
        <f t="shared" si="9"/>
        <v>0.27940608836622838</v>
      </c>
    </row>
    <row r="32" spans="2:12" outlineLevel="1" x14ac:dyDescent="0.45">
      <c r="C32" s="33"/>
      <c r="D32" s="33"/>
      <c r="E32" s="33"/>
      <c r="F32" s="33"/>
      <c r="G32" s="33"/>
      <c r="H32" s="33"/>
      <c r="I32" s="33"/>
      <c r="J32" s="33"/>
      <c r="K32" s="33"/>
      <c r="L32" s="33"/>
    </row>
    <row r="33" spans="1:12" outlineLevel="1" x14ac:dyDescent="0.45">
      <c r="B33" s="26" t="s">
        <v>96</v>
      </c>
      <c r="C33" s="34">
        <f>IFERROR(C28-C30,0)</f>
        <v>14353</v>
      </c>
      <c r="D33" s="34">
        <f t="shared" ref="D33:L33" si="10">IFERROR(D28-D30,0)</f>
        <v>16029</v>
      </c>
      <c r="E33" s="34">
        <f t="shared" si="10"/>
        <v>15410</v>
      </c>
      <c r="F33" s="34">
        <f t="shared" si="10"/>
        <v>16639</v>
      </c>
      <c r="G33" s="34">
        <f t="shared" si="10"/>
        <v>19423</v>
      </c>
      <c r="H33" s="34">
        <f t="shared" si="10"/>
        <v>22146</v>
      </c>
      <c r="I33" s="34">
        <f t="shared" si="10"/>
        <v>24108</v>
      </c>
      <c r="J33" s="34">
        <f t="shared" si="10"/>
        <v>26248</v>
      </c>
      <c r="K33" s="34">
        <f t="shared" si="10"/>
        <v>26750</v>
      </c>
      <c r="L33" s="34">
        <f t="shared" si="10"/>
        <v>28003</v>
      </c>
    </row>
    <row r="34" spans="1:12" outlineLevel="1" x14ac:dyDescent="0.45">
      <c r="B34" s="30" t="s">
        <v>97</v>
      </c>
      <c r="C34" s="35">
        <f>C33/C7</f>
        <v>0.20958180012849717</v>
      </c>
      <c r="D34" s="35">
        <f t="shared" ref="D34:L34" si="11">D33/D7</f>
        <v>0.22729077451008195</v>
      </c>
      <c r="E34" s="35">
        <f t="shared" si="11"/>
        <v>0.18639250075597219</v>
      </c>
      <c r="F34" s="35">
        <f t="shared" si="11"/>
        <v>0.18326706391602693</v>
      </c>
      <c r="G34" s="35">
        <f t="shared" si="11"/>
        <v>0.19331754120550998</v>
      </c>
      <c r="H34" s="35">
        <f t="shared" si="11"/>
        <v>0.1820603250548746</v>
      </c>
      <c r="I34" s="35">
        <f t="shared" si="11"/>
        <v>0.16426035825492105</v>
      </c>
      <c r="J34" s="35">
        <f t="shared" si="11"/>
        <v>0.17080757467300059</v>
      </c>
      <c r="K34" s="35">
        <f t="shared" si="11"/>
        <v>0.16412049819007302</v>
      </c>
      <c r="L34" s="35">
        <f t="shared" si="11"/>
        <v>0.16170534667644496</v>
      </c>
    </row>
    <row r="35" spans="1:12" outlineLevel="1" x14ac:dyDescent="0.45">
      <c r="C35" s="33"/>
      <c r="D35" s="33"/>
      <c r="E35" s="33"/>
      <c r="F35" s="33"/>
      <c r="G35" s="33"/>
      <c r="H35" s="33"/>
      <c r="I35" s="33"/>
      <c r="J35" s="33"/>
      <c r="K35" s="33"/>
      <c r="L35" s="33"/>
    </row>
    <row r="36" spans="1:12" outlineLevel="1" x14ac:dyDescent="0.45">
      <c r="B36" t="s">
        <v>98</v>
      </c>
      <c r="C36" s="33">
        <f>'Data (Input)'!B93</f>
        <v>459.39</v>
      </c>
      <c r="D36" s="33">
        <f>'Data (Input)'!C93</f>
        <v>459.39</v>
      </c>
      <c r="E36" s="33">
        <f>'Data (Input)'!D93</f>
        <v>436.82</v>
      </c>
      <c r="F36" s="33">
        <f>'Data (Input)'!E93</f>
        <v>436.89</v>
      </c>
      <c r="G36" s="33">
        <f>'Data (Input)'!F93</f>
        <v>425.9</v>
      </c>
      <c r="H36" s="33">
        <f>'Data (Input)'!G93</f>
        <v>426.07</v>
      </c>
      <c r="I36" s="33">
        <f>'Data (Input)'!H93</f>
        <v>420.67</v>
      </c>
      <c r="J36" s="33">
        <f>'Data (Input)'!I93</f>
        <v>414.86</v>
      </c>
      <c r="K36" s="33">
        <f>'Data (Input)'!J93</f>
        <v>415.09</v>
      </c>
      <c r="L36" s="33">
        <f>K36</f>
        <v>415.09</v>
      </c>
    </row>
    <row r="37" spans="1:12" outlineLevel="1" x14ac:dyDescent="0.45">
      <c r="B37" t="s">
        <v>99</v>
      </c>
      <c r="C37" s="31">
        <f>C33/C36</f>
        <v>31.243605650971944</v>
      </c>
      <c r="D37" s="31">
        <f t="shared" ref="D37:L37" si="12">D33/D36</f>
        <v>34.891921896427874</v>
      </c>
      <c r="E37" s="31">
        <f t="shared" si="12"/>
        <v>35.27768875051509</v>
      </c>
      <c r="F37" s="31">
        <f t="shared" si="12"/>
        <v>38.085101512966652</v>
      </c>
      <c r="G37" s="31">
        <f t="shared" si="12"/>
        <v>45.604602019253349</v>
      </c>
      <c r="H37" s="31">
        <f t="shared" si="12"/>
        <v>51.977374609805899</v>
      </c>
      <c r="I37" s="31">
        <f t="shared" si="12"/>
        <v>57.308579171321938</v>
      </c>
      <c r="J37" s="31">
        <f t="shared" si="12"/>
        <v>63.269536711179676</v>
      </c>
      <c r="K37" s="31">
        <f t="shared" si="12"/>
        <v>64.443855549398933</v>
      </c>
      <c r="L37" s="31">
        <f t="shared" si="12"/>
        <v>67.462478016815638</v>
      </c>
    </row>
    <row r="38" spans="1:12" outlineLevel="1" x14ac:dyDescent="0.45">
      <c r="B38" s="30" t="s">
        <v>100</v>
      </c>
      <c r="C38" s="35" t="s">
        <v>101</v>
      </c>
      <c r="D38" s="35">
        <f>D37/C37-1</f>
        <v>0.11677001323765057</v>
      </c>
      <c r="E38" s="35">
        <f t="shared" ref="E38:L38" si="13">E37/D37-1</f>
        <v>1.1056050601979228E-2</v>
      </c>
      <c r="F38" s="35">
        <f t="shared" si="13"/>
        <v>7.9580405119668463E-2</v>
      </c>
      <c r="G38" s="35">
        <f t="shared" si="13"/>
        <v>0.19743942401536119</v>
      </c>
      <c r="H38" s="35">
        <f t="shared" si="13"/>
        <v>0.13973968214572063</v>
      </c>
      <c r="I38" s="35">
        <f t="shared" si="13"/>
        <v>0.10256779226610391</v>
      </c>
      <c r="J38" s="35">
        <f t="shared" si="13"/>
        <v>0.10401509906636619</v>
      </c>
      <c r="K38" s="35">
        <f t="shared" si="13"/>
        <v>1.8560572737871039E-2</v>
      </c>
      <c r="L38" s="35">
        <f t="shared" si="13"/>
        <v>4.6841121495327043E-2</v>
      </c>
    </row>
    <row r="39" spans="1:12" outlineLevel="1" x14ac:dyDescent="0.45">
      <c r="C39" s="33"/>
      <c r="D39" s="33"/>
      <c r="E39" s="33"/>
      <c r="F39" s="33"/>
      <c r="G39" s="33"/>
      <c r="H39" s="33"/>
      <c r="I39" s="33"/>
      <c r="J39" s="33"/>
      <c r="K39" s="33"/>
      <c r="L39" s="33"/>
    </row>
    <row r="40" spans="1:12" outlineLevel="1" x14ac:dyDescent="0.45">
      <c r="B40" t="s">
        <v>102</v>
      </c>
      <c r="C40" s="31">
        <f>'Data (Input)'!C31/'3 Statement Model'!C36</f>
        <v>12.824832930625396</v>
      </c>
      <c r="D40" s="31">
        <f>'Data (Input)'!D31/'3 Statement Model'!D36</f>
        <v>20.60471494808333</v>
      </c>
      <c r="E40" s="31">
        <f>'Data (Input)'!E31/'3 Statement Model'!E36</f>
        <v>21.112815347282634</v>
      </c>
      <c r="F40" s="31">
        <f>'Data (Input)'!F31/'3 Statement Model'!F36</f>
        <v>16.999702442262354</v>
      </c>
      <c r="G40" s="31">
        <f>'Data (Input)'!G31/'3 Statement Model'!G36</f>
        <v>26.930265320497771</v>
      </c>
      <c r="H40" s="31">
        <f>'Data (Input)'!H31/'3 Statement Model'!H36</f>
        <v>30.529255756096418</v>
      </c>
      <c r="I40" s="31">
        <f>'Data (Input)'!I31/'3 Statement Model'!I36</f>
        <v>33.444742910119572</v>
      </c>
      <c r="J40" s="31">
        <f>'Data (Input)'!J31/'3 Statement Model'!J36</f>
        <v>45.926818685821722</v>
      </c>
      <c r="K40" s="31">
        <f>'Data (Input)'!K31/'3 Statement Model'!K36</f>
        <v>42.949239923871929</v>
      </c>
      <c r="L40" s="31"/>
    </row>
    <row r="41" spans="1:12" outlineLevel="1" x14ac:dyDescent="0.45">
      <c r="B41" t="s">
        <v>103</v>
      </c>
      <c r="C41" s="37">
        <f>C40/C37</f>
        <v>0.4104786455793214</v>
      </c>
      <c r="D41" s="37">
        <f t="shared" ref="D41:K41" si="14">D40/D37</f>
        <v>0.59052966498221982</v>
      </c>
      <c r="E41" s="37">
        <f t="shared" si="14"/>
        <v>0.59847501622323163</v>
      </c>
      <c r="F41" s="37">
        <f t="shared" si="14"/>
        <v>0.4463609591922591</v>
      </c>
      <c r="G41" s="37">
        <f t="shared" si="14"/>
        <v>0.59051639808474488</v>
      </c>
      <c r="H41" s="37">
        <f t="shared" si="14"/>
        <v>0.58735663325205456</v>
      </c>
      <c r="I41" s="37">
        <f t="shared" si="14"/>
        <v>0.58359050937448154</v>
      </c>
      <c r="J41" s="37">
        <f t="shared" si="14"/>
        <v>0.72589149649497098</v>
      </c>
      <c r="K41" s="37">
        <f t="shared" si="14"/>
        <v>0.66645981308411206</v>
      </c>
      <c r="L41" s="37"/>
    </row>
    <row r="42" spans="1:12" outlineLevel="1" x14ac:dyDescent="0.45">
      <c r="C42" s="33"/>
      <c r="D42" s="33"/>
      <c r="E42" s="33"/>
      <c r="F42" s="33"/>
      <c r="G42" s="33"/>
      <c r="H42" s="33"/>
      <c r="I42" s="33"/>
      <c r="J42" s="33"/>
      <c r="K42" s="33"/>
      <c r="L42" s="33"/>
    </row>
    <row r="43" spans="1:12" outlineLevel="1" x14ac:dyDescent="0.45">
      <c r="B43" s="29" t="s">
        <v>104</v>
      </c>
      <c r="C43" s="35">
        <f>1-C41</f>
        <v>0.58952135442067854</v>
      </c>
      <c r="D43" s="35">
        <f t="shared" ref="D43:K43" si="15">1-D41</f>
        <v>0.40947033501778018</v>
      </c>
      <c r="E43" s="35">
        <f t="shared" si="15"/>
        <v>0.40152498377676837</v>
      </c>
      <c r="F43" s="35">
        <f t="shared" si="15"/>
        <v>0.55363904080774096</v>
      </c>
      <c r="G43" s="35">
        <f t="shared" si="15"/>
        <v>0.40948360191525512</v>
      </c>
      <c r="H43" s="35">
        <f t="shared" si="15"/>
        <v>0.41264336674794544</v>
      </c>
      <c r="I43" s="35">
        <f t="shared" si="15"/>
        <v>0.41640949062551846</v>
      </c>
      <c r="J43" s="35">
        <f t="shared" si="15"/>
        <v>0.27410850350502902</v>
      </c>
      <c r="K43" s="35">
        <f t="shared" si="15"/>
        <v>0.33354018691588794</v>
      </c>
      <c r="L43" s="35"/>
    </row>
    <row r="45" spans="1:12" x14ac:dyDescent="0.45">
      <c r="A45" t="s">
        <v>84</v>
      </c>
      <c r="B45" s="24" t="s">
        <v>105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spans="1:12" outlineLevel="1" x14ac:dyDescent="0.45"/>
    <row r="47" spans="1:12" outlineLevel="1" x14ac:dyDescent="0.45">
      <c r="B47" t="s">
        <v>24</v>
      </c>
      <c r="C47" s="31">
        <f>'Balance Sheet (Input)'!C4</f>
        <v>1144</v>
      </c>
      <c r="D47" s="31">
        <f>'Balance Sheet (Input)'!D4</f>
        <v>1088</v>
      </c>
      <c r="E47" s="31">
        <f>'Balance Sheet (Input)'!E4</f>
        <v>2170</v>
      </c>
      <c r="F47" s="31">
        <f>'Balance Sheet (Input)'!F4</f>
        <v>2122</v>
      </c>
      <c r="G47" s="31">
        <f>'Balance Sheet (Input)'!G4</f>
        <v>2124</v>
      </c>
      <c r="H47" s="31">
        <f>'Balance Sheet (Input)'!H4</f>
        <v>2098</v>
      </c>
      <c r="I47" s="31">
        <f>'Balance Sheet (Input)'!I4</f>
        <v>2069</v>
      </c>
      <c r="J47" s="31">
        <f>'Balance Sheet (Input)'!J4</f>
        <v>2071</v>
      </c>
      <c r="K47" s="31">
        <f>'Balance Sheet (Input)'!K4</f>
        <v>2073</v>
      </c>
    </row>
    <row r="48" spans="1:12" outlineLevel="1" x14ac:dyDescent="0.45">
      <c r="B48" t="s">
        <v>25</v>
      </c>
      <c r="C48" s="31">
        <f>'Balance Sheet (Input)'!C5</f>
        <v>67838</v>
      </c>
      <c r="D48" s="31">
        <f>'Balance Sheet (Input)'!D5</f>
        <v>63835</v>
      </c>
      <c r="E48" s="31">
        <f>'Balance Sheet (Input)'!E5</f>
        <v>62778</v>
      </c>
      <c r="F48" s="31">
        <f>'Balance Sheet (Input)'!F5</f>
        <v>63328</v>
      </c>
      <c r="G48" s="31">
        <f>'Balance Sheet (Input)'!G5</f>
        <v>74227</v>
      </c>
      <c r="H48" s="31">
        <f>'Balance Sheet (Input)'!H5</f>
        <v>73252</v>
      </c>
      <c r="I48" s="31">
        <f>'Balance Sheet (Input)'!I5</f>
        <v>73338</v>
      </c>
      <c r="J48" s="31">
        <f>'Balance Sheet (Input)'!J5</f>
        <v>86045</v>
      </c>
      <c r="K48" s="31">
        <f>'Balance Sheet (Input)'!K5</f>
        <v>93745</v>
      </c>
    </row>
    <row r="49" spans="1:12" outlineLevel="1" x14ac:dyDescent="0.45">
      <c r="B49" t="s">
        <v>62</v>
      </c>
      <c r="C49" s="31">
        <f>'Balance Sheet (Input)'!C6</f>
        <v>0</v>
      </c>
      <c r="D49" s="31">
        <f>'Balance Sheet (Input)'!D6</f>
        <v>0</v>
      </c>
      <c r="E49" s="31">
        <f>'Balance Sheet (Input)'!E6</f>
        <v>0</v>
      </c>
      <c r="F49" s="31">
        <f>'Balance Sheet (Input)'!F6</f>
        <v>4633</v>
      </c>
      <c r="G49" s="31">
        <f>'Balance Sheet (Input)'!G6</f>
        <v>5325</v>
      </c>
      <c r="H49" s="31">
        <f>'Balance Sheet (Input)'!H6</f>
        <v>5474</v>
      </c>
      <c r="I49" s="31">
        <f>'Balance Sheet (Input)'!I6</f>
        <v>8299</v>
      </c>
      <c r="J49" s="31">
        <f>'Balance Sheet (Input)'!J6</f>
        <v>8359</v>
      </c>
      <c r="K49" s="31">
        <f>'Balance Sheet (Input)'!K6</f>
        <v>8227</v>
      </c>
    </row>
    <row r="50" spans="1:12" outlineLevel="1" x14ac:dyDescent="0.45">
      <c r="B50" t="s">
        <v>63</v>
      </c>
      <c r="C50" s="31">
        <f>'Balance Sheet (Input)'!C7</f>
        <v>14166</v>
      </c>
      <c r="D50" s="31">
        <f>'Balance Sheet (Input)'!D7</f>
        <v>14426</v>
      </c>
      <c r="E50" s="31">
        <f>'Balance Sheet (Input)'!E7</f>
        <v>19118</v>
      </c>
      <c r="F50" s="31">
        <f>'Balance Sheet (Input)'!F7</f>
        <v>21717</v>
      </c>
      <c r="G50" s="31">
        <f>'Balance Sheet (Input)'!G7</f>
        <v>25835</v>
      </c>
      <c r="H50" s="31">
        <f>'Balance Sheet (Input)'!H7</f>
        <v>35905</v>
      </c>
      <c r="I50" s="31">
        <f>'Balance Sheet (Input)'!I7</f>
        <v>40890</v>
      </c>
      <c r="J50" s="31">
        <f>'Balance Sheet (Input)'!J7</f>
        <v>40885</v>
      </c>
      <c r="K50" s="31">
        <f>'Balance Sheet (Input)'!K7</f>
        <v>43750</v>
      </c>
    </row>
    <row r="51" spans="1:12" outlineLevel="1" x14ac:dyDescent="0.45">
      <c r="B51" s="26" t="s">
        <v>106</v>
      </c>
      <c r="C51" s="27">
        <f>SUM(C47:C50)</f>
        <v>83148</v>
      </c>
      <c r="D51" s="27">
        <f t="shared" ref="D51:K51" si="16">SUM(D47:D50)</f>
        <v>79349</v>
      </c>
      <c r="E51" s="27">
        <f t="shared" si="16"/>
        <v>84066</v>
      </c>
      <c r="F51" s="27">
        <f t="shared" si="16"/>
        <v>91800</v>
      </c>
      <c r="G51" s="27">
        <f t="shared" si="16"/>
        <v>107511</v>
      </c>
      <c r="H51" s="27">
        <f t="shared" si="16"/>
        <v>116729</v>
      </c>
      <c r="I51" s="27">
        <f t="shared" si="16"/>
        <v>124596</v>
      </c>
      <c r="J51" s="27">
        <f t="shared" si="16"/>
        <v>137360</v>
      </c>
      <c r="K51" s="27">
        <f t="shared" si="16"/>
        <v>147795</v>
      </c>
    </row>
    <row r="52" spans="1:12" outlineLevel="1" x14ac:dyDescent="0.45"/>
    <row r="53" spans="1:12" outlineLevel="1" x14ac:dyDescent="0.45">
      <c r="B53" t="s">
        <v>107</v>
      </c>
      <c r="C53" s="31">
        <f>'Balance Sheet (Input)'!C10</f>
        <v>14179</v>
      </c>
      <c r="D53" s="31">
        <f>'Balance Sheet (Input)'!D10</f>
        <v>12574</v>
      </c>
      <c r="E53" s="31">
        <f>'Balance Sheet (Input)'!E10</f>
        <v>15710</v>
      </c>
      <c r="F53" s="31">
        <f>'Balance Sheet (Input)'!F10</f>
        <v>23789</v>
      </c>
      <c r="G53" s="31">
        <f>'Balance Sheet (Input)'!G10</f>
        <v>25505</v>
      </c>
      <c r="H53" s="31">
        <f>'Balance Sheet (Input)'!H10</f>
        <v>25800</v>
      </c>
      <c r="I53" s="31">
        <f>'Balance Sheet (Input)'!I10</f>
        <v>29225</v>
      </c>
      <c r="J53" s="31">
        <f>'Balance Sheet (Input)'!J10</f>
        <v>27622</v>
      </c>
      <c r="K53" s="31">
        <f>'Balance Sheet (Input)'!K10</f>
        <v>30961</v>
      </c>
    </row>
    <row r="54" spans="1:12" outlineLevel="1" x14ac:dyDescent="0.45">
      <c r="B54" t="s">
        <v>28</v>
      </c>
      <c r="C54" s="31">
        <f>'Balance Sheet (Input)'!C11</f>
        <v>1365</v>
      </c>
      <c r="D54" s="31">
        <f>'Balance Sheet (Input)'!D11</f>
        <v>1606</v>
      </c>
      <c r="E54" s="31">
        <f>'Balance Sheet (Input)'!E11</f>
        <v>1388</v>
      </c>
      <c r="F54" s="31">
        <f>'Balance Sheet (Input)'!F11</f>
        <v>954</v>
      </c>
      <c r="G54" s="31">
        <f>'Balance Sheet (Input)'!G11</f>
        <v>922</v>
      </c>
      <c r="H54" s="31">
        <f>'Balance Sheet (Input)'!H11</f>
        <v>416</v>
      </c>
      <c r="I54" s="31">
        <f>'Balance Sheet (Input)'!I11</f>
        <v>288</v>
      </c>
      <c r="J54" s="31">
        <f>'Balance Sheet (Input)'!J11</f>
        <v>293</v>
      </c>
      <c r="K54" s="31">
        <f>'Balance Sheet (Input)'!K11</f>
        <v>814</v>
      </c>
    </row>
    <row r="55" spans="1:12" outlineLevel="1" x14ac:dyDescent="0.45">
      <c r="B55" t="s">
        <v>29</v>
      </c>
      <c r="C55" s="31">
        <f>'Balance Sheet (Input)'!C12</f>
        <v>16423</v>
      </c>
      <c r="D55" s="31">
        <f>'Balance Sheet (Input)'!D12</f>
        <v>12163</v>
      </c>
      <c r="E55" s="31">
        <f>'Balance Sheet (Input)'!E12</f>
        <v>11261</v>
      </c>
      <c r="F55" s="31">
        <f>'Balance Sheet (Input)'!F12</f>
        <v>8792</v>
      </c>
      <c r="G55" s="31">
        <f>'Balance Sheet (Input)'!G12</f>
        <v>14205</v>
      </c>
      <c r="H55" s="31">
        <f>'Balance Sheet (Input)'!H12</f>
        <v>20324</v>
      </c>
      <c r="I55" s="31">
        <f>'Balance Sheet (Input)'!I12</f>
        <v>19478</v>
      </c>
      <c r="J55" s="31">
        <f>'Balance Sheet (Input)'!J12</f>
        <v>24623</v>
      </c>
      <c r="K55" s="31">
        <f>'Balance Sheet (Input)'!K12</f>
        <v>23541</v>
      </c>
    </row>
    <row r="56" spans="1:12" outlineLevel="1" x14ac:dyDescent="0.45">
      <c r="B56" t="s">
        <v>64</v>
      </c>
      <c r="C56" s="31">
        <f>'Balance Sheet (Input)'!C13</f>
        <v>51181</v>
      </c>
      <c r="D56" s="31">
        <f>'Balance Sheet (Input)'!D13</f>
        <v>53006</v>
      </c>
      <c r="E56" s="31">
        <f>'Balance Sheet (Input)'!E13</f>
        <v>55707</v>
      </c>
      <c r="F56" s="31">
        <f>'Balance Sheet (Input)'!F13</f>
        <v>58265</v>
      </c>
      <c r="G56" s="31">
        <f>'Balance Sheet (Input)'!G13</f>
        <v>66879</v>
      </c>
      <c r="H56" s="31">
        <f>'Balance Sheet (Input)'!H13</f>
        <v>70189</v>
      </c>
      <c r="I56" s="31">
        <f>'Balance Sheet (Input)'!I13</f>
        <v>75605</v>
      </c>
      <c r="J56" s="31">
        <f>'Balance Sheet (Input)'!J13</f>
        <v>84822</v>
      </c>
      <c r="K56" s="31">
        <f>'Balance Sheet (Input)'!K13</f>
        <v>92479</v>
      </c>
    </row>
    <row r="57" spans="1:12" outlineLevel="1" x14ac:dyDescent="0.45">
      <c r="B57" s="26" t="s">
        <v>108</v>
      </c>
      <c r="C57" s="34">
        <f>SUM(C53:C56)</f>
        <v>83148</v>
      </c>
      <c r="D57" s="34">
        <f t="shared" ref="D57:K57" si="17">SUM(D53:D56)</f>
        <v>79349</v>
      </c>
      <c r="E57" s="34">
        <f t="shared" si="17"/>
        <v>84066</v>
      </c>
      <c r="F57" s="34">
        <f t="shared" si="17"/>
        <v>91800</v>
      </c>
      <c r="G57" s="34">
        <f t="shared" si="17"/>
        <v>107511</v>
      </c>
      <c r="H57" s="34">
        <f t="shared" si="17"/>
        <v>116729</v>
      </c>
      <c r="I57" s="34">
        <f t="shared" si="17"/>
        <v>124596</v>
      </c>
      <c r="J57" s="34">
        <f t="shared" si="17"/>
        <v>137360</v>
      </c>
      <c r="K57" s="34">
        <f t="shared" si="17"/>
        <v>147795</v>
      </c>
    </row>
    <row r="58" spans="1:12" outlineLevel="1" x14ac:dyDescent="0.45">
      <c r="C58" s="31"/>
      <c r="D58" s="31"/>
      <c r="E58" s="31"/>
      <c r="F58" s="31"/>
      <c r="G58" s="31"/>
      <c r="H58" s="31"/>
      <c r="I58" s="31"/>
      <c r="J58" s="31"/>
      <c r="K58" s="31"/>
    </row>
    <row r="59" spans="1:12" outlineLevel="1" x14ac:dyDescent="0.45">
      <c r="B59" s="2"/>
      <c r="C59" s="121"/>
      <c r="D59" s="121"/>
      <c r="E59" s="121"/>
      <c r="F59" s="121"/>
      <c r="G59" s="121"/>
      <c r="H59" s="121"/>
      <c r="I59" s="121"/>
      <c r="J59" s="121"/>
      <c r="K59" s="121"/>
    </row>
    <row r="60" spans="1:12" outlineLevel="1" x14ac:dyDescent="0.45"/>
    <row r="61" spans="1:12" outlineLevel="1" x14ac:dyDescent="0.45"/>
    <row r="63" spans="1:12" x14ac:dyDescent="0.45">
      <c r="A63" t="s">
        <v>84</v>
      </c>
      <c r="B63" s="24" t="s">
        <v>109</v>
      </c>
      <c r="C63" s="23"/>
      <c r="D63" s="23"/>
      <c r="E63" s="23"/>
      <c r="F63" s="23"/>
      <c r="G63" s="23"/>
      <c r="H63" s="23"/>
      <c r="I63" s="23"/>
      <c r="J63" s="23"/>
      <c r="K63" s="23"/>
      <c r="L63" s="23"/>
    </row>
    <row r="64" spans="1:12" outlineLevel="1" x14ac:dyDescent="0.45"/>
    <row r="65" spans="2:11" outlineLevel="1" x14ac:dyDescent="0.45">
      <c r="B65" s="2" t="s">
        <v>110</v>
      </c>
    </row>
    <row r="66" spans="2:11" outlineLevel="1" x14ac:dyDescent="0.45">
      <c r="B66" t="s">
        <v>112</v>
      </c>
      <c r="C66" s="53">
        <f>'Cash flow data (Input)'!I6</f>
        <v>19340</v>
      </c>
      <c r="D66" s="53">
        <f>'Cash flow data (Input)'!J6</f>
        <v>19963</v>
      </c>
      <c r="E66" s="53">
        <f>'Cash flow data (Input)'!K6</f>
        <v>22126</v>
      </c>
      <c r="F66" s="53">
        <f>'Cash flow data (Input)'!L6</f>
        <v>23920</v>
      </c>
      <c r="G66" s="53">
        <f>'Cash flow data (Input)'!M6</f>
        <v>28845</v>
      </c>
      <c r="H66" s="53">
        <f>'Cash flow data (Input)'!N6</f>
        <v>32921</v>
      </c>
      <c r="I66" s="53">
        <f>'Cash flow data (Input)'!O6</f>
        <v>37605</v>
      </c>
      <c r="J66" s="53">
        <f>'Cash flow data (Input)'!P6</f>
        <v>39523</v>
      </c>
      <c r="K66" s="53">
        <f>'Cash flow data (Input)'!Q6</f>
        <v>41591</v>
      </c>
    </row>
    <row r="67" spans="2:11" outlineLevel="1" x14ac:dyDescent="0.45">
      <c r="B67" t="s">
        <v>69</v>
      </c>
      <c r="C67" s="53">
        <f>'Cash flow data (Input)'!I7</f>
        <v>-1743</v>
      </c>
      <c r="D67" s="53">
        <f>'Cash flow data (Input)'!J7</f>
        <v>-1523</v>
      </c>
      <c r="E67" s="53">
        <f>'Cash flow data (Input)'!K7</f>
        <v>-2881</v>
      </c>
      <c r="F67" s="53">
        <f>'Cash flow data (Input)'!L7</f>
        <v>-3861</v>
      </c>
      <c r="G67" s="53">
        <f>'Cash flow data (Input)'!M7</f>
        <v>-1835</v>
      </c>
      <c r="H67" s="53">
        <f>'Cash flow data (Input)'!N7</f>
        <v>-7937</v>
      </c>
      <c r="I67" s="53">
        <f>'Cash flow data (Input)'!O7</f>
        <v>-7076</v>
      </c>
      <c r="J67" s="53">
        <f>'Cash flow data (Input)'!P7</f>
        <v>-2667</v>
      </c>
      <c r="K67" s="53">
        <f>'Cash flow data (Input)'!Q7</f>
        <v>-1769</v>
      </c>
    </row>
    <row r="68" spans="2:11" outlineLevel="1" x14ac:dyDescent="0.45">
      <c r="B68" t="s">
        <v>113</v>
      </c>
      <c r="C68" s="53">
        <f>'Cash flow data (Input)'!I8</f>
        <v>-19</v>
      </c>
      <c r="D68" s="53">
        <f>'Cash flow data (Input)'!J8</f>
        <v>328</v>
      </c>
      <c r="E68" s="53">
        <f>'Cash flow data (Input)'!K8</f>
        <v>916</v>
      </c>
      <c r="F68" s="53">
        <f>'Cash flow data (Input)'!L8</f>
        <v>-373</v>
      </c>
      <c r="G68" s="53">
        <f>'Cash flow data (Input)'!M8</f>
        <v>-245</v>
      </c>
      <c r="H68" s="53">
        <f>'Cash flow data (Input)'!N8</f>
        <v>1489</v>
      </c>
      <c r="I68" s="53">
        <f>'Cash flow data (Input)'!O8</f>
        <v>-279</v>
      </c>
      <c r="J68" s="53">
        <f>'Cash flow data (Input)'!P8</f>
        <v>91</v>
      </c>
      <c r="K68" s="53">
        <f>'Cash flow data (Input)'!Q8</f>
        <v>176</v>
      </c>
    </row>
    <row r="69" spans="2:11" outlineLevel="1" x14ac:dyDescent="0.45">
      <c r="B69" t="s">
        <v>114</v>
      </c>
      <c r="C69" s="53">
        <f>'Cash flow data (Input)'!I9</f>
        <v>0</v>
      </c>
      <c r="D69" s="53">
        <f>'Cash flow data (Input)'!J9</f>
        <v>0</v>
      </c>
      <c r="E69" s="53">
        <f>'Cash flow data (Input)'!K9</f>
        <v>0</v>
      </c>
      <c r="F69" s="53">
        <f>'Cash flow data (Input)'!L9</f>
        <v>0</v>
      </c>
      <c r="G69" s="53">
        <f>'Cash flow data (Input)'!M9</f>
        <v>-534</v>
      </c>
      <c r="H69" s="53">
        <f>'Cash flow data (Input)'!N9</f>
        <v>-1914</v>
      </c>
      <c r="I69" s="53">
        <f>'Cash flow data (Input)'!O9</f>
        <v>-3108</v>
      </c>
      <c r="J69" s="53">
        <f>'Cash flow data (Input)'!P9</f>
        <v>-1172</v>
      </c>
      <c r="K69" s="53">
        <f>'Cash flow data (Input)'!Q9</f>
        <v>-1024</v>
      </c>
    </row>
    <row r="70" spans="2:11" outlineLevel="1" x14ac:dyDescent="0.45">
      <c r="B70" t="s">
        <v>115</v>
      </c>
      <c r="C70" s="53">
        <f>'Cash flow data (Input)'!I10</f>
        <v>-394</v>
      </c>
      <c r="D70" s="53">
        <f>'Cash flow data (Input)'!J10</f>
        <v>1279</v>
      </c>
      <c r="E70" s="53">
        <f>'Cash flow data (Input)'!K10</f>
        <v>1512</v>
      </c>
      <c r="F70" s="53">
        <f>'Cash flow data (Input)'!L10</f>
        <v>1867</v>
      </c>
      <c r="G70" s="53">
        <f>'Cash flow data (Input)'!M10</f>
        <v>3382</v>
      </c>
      <c r="H70" s="53">
        <f>'Cash flow data (Input)'!N10</f>
        <v>6938</v>
      </c>
      <c r="I70" s="53">
        <f>'Cash flow data (Input)'!O10</f>
        <v>4119</v>
      </c>
      <c r="J70" s="53">
        <f>'Cash flow data (Input)'!P10</f>
        <v>-1334</v>
      </c>
      <c r="K70" s="53">
        <f>'Cash flow data (Input)'!Q10</f>
        <v>2322</v>
      </c>
    </row>
    <row r="71" spans="2:11" outlineLevel="1" x14ac:dyDescent="0.45">
      <c r="B71" t="s">
        <v>132</v>
      </c>
      <c r="C71" s="53">
        <f>'Cash flow data (Input)'!I12</f>
        <v>-5653</v>
      </c>
      <c r="D71" s="53">
        <f>'Cash flow data (Input)'!J12</f>
        <v>-6829</v>
      </c>
      <c r="E71" s="53">
        <f>'Cash flow data (Input)'!K12</f>
        <v>-6832</v>
      </c>
      <c r="F71" s="53">
        <f>'Cash flow data (Input)'!L12</f>
        <v>-4550</v>
      </c>
      <c r="G71" s="53">
        <f>'Cash flow data (Input)'!M12</f>
        <v>-6389</v>
      </c>
      <c r="H71" s="53">
        <f>'Cash flow data (Input)'!N12</f>
        <v>-7612</v>
      </c>
      <c r="I71" s="53">
        <f>'Cash flow data (Input)'!O12</f>
        <v>-8794</v>
      </c>
      <c r="J71" s="53">
        <f>'Cash flow data (Input)'!P12</f>
        <v>-9231</v>
      </c>
      <c r="K71" s="53">
        <f>'Cash flow data (Input)'!Q12</f>
        <v>-5602</v>
      </c>
    </row>
    <row r="72" spans="2:11" outlineLevel="1" x14ac:dyDescent="0.45">
      <c r="B72" s="26" t="s">
        <v>133</v>
      </c>
      <c r="C72" s="54">
        <f>SUM(C66:C71)</f>
        <v>11531</v>
      </c>
      <c r="D72" s="54">
        <f t="shared" ref="D72:K72" si="18">SUM(D66:D71)</f>
        <v>13218</v>
      </c>
      <c r="E72" s="54">
        <f t="shared" si="18"/>
        <v>14841</v>
      </c>
      <c r="F72" s="54">
        <f t="shared" si="18"/>
        <v>17003</v>
      </c>
      <c r="G72" s="54">
        <f t="shared" si="18"/>
        <v>23224</v>
      </c>
      <c r="H72" s="54">
        <f t="shared" si="18"/>
        <v>23885</v>
      </c>
      <c r="I72" s="54">
        <f t="shared" si="18"/>
        <v>22467</v>
      </c>
      <c r="J72" s="54">
        <f t="shared" si="18"/>
        <v>25210</v>
      </c>
      <c r="K72" s="54">
        <f t="shared" si="18"/>
        <v>35694</v>
      </c>
    </row>
    <row r="73" spans="2:11" outlineLevel="1" x14ac:dyDescent="0.45"/>
    <row r="74" spans="2:11" outlineLevel="1" x14ac:dyDescent="0.45">
      <c r="B74" s="2" t="s">
        <v>134</v>
      </c>
    </row>
    <row r="75" spans="2:11" outlineLevel="1" x14ac:dyDescent="0.45">
      <c r="B75" t="s">
        <v>119</v>
      </c>
      <c r="C75" s="53">
        <f>'Cash flow data (Input)'!I14</f>
        <v>-2760</v>
      </c>
      <c r="D75" s="53">
        <f>'Cash flow data (Input)'!J14</f>
        <v>-1998</v>
      </c>
      <c r="E75" s="53">
        <f>'Cash flow data (Input)'!K14</f>
        <v>-2445</v>
      </c>
      <c r="F75" s="53">
        <f>'Cash flow data (Input)'!L14</f>
        <v>-3307</v>
      </c>
      <c r="G75" s="53">
        <f>'Cash flow data (Input)'!M14</f>
        <v>-2107</v>
      </c>
      <c r="H75" s="53">
        <f>'Cash flow data (Input)'!N14</f>
        <v>-2161</v>
      </c>
      <c r="I75" s="53">
        <f>'Cash flow data (Input)'!O14</f>
        <v>-2579</v>
      </c>
      <c r="J75" s="53">
        <f>'Cash flow data (Input)'!P14</f>
        <v>-2201</v>
      </c>
      <c r="K75" s="53">
        <f>'Cash flow data (Input)'!Q14</f>
        <v>-2237</v>
      </c>
    </row>
    <row r="76" spans="2:11" outlineLevel="1" x14ac:dyDescent="0.45">
      <c r="B76" t="s">
        <v>120</v>
      </c>
      <c r="C76" s="53">
        <f>'Cash flow data (Input)'!I15</f>
        <v>0</v>
      </c>
      <c r="D76" s="53">
        <f>'Cash flow data (Input)'!J15</f>
        <v>0</v>
      </c>
      <c r="E76" s="53">
        <f>'Cash flow data (Input)'!K15</f>
        <v>0</v>
      </c>
      <c r="F76" s="53">
        <f>'Cash flow data (Input)'!L15</f>
        <v>0</v>
      </c>
      <c r="G76" s="53">
        <f>'Cash flow data (Input)'!M15</f>
        <v>0</v>
      </c>
      <c r="H76" s="53">
        <f>'Cash flow data (Input)'!N15</f>
        <v>0</v>
      </c>
      <c r="I76" s="53">
        <f>'Cash flow data (Input)'!O15</f>
        <v>0</v>
      </c>
      <c r="J76" s="53">
        <f>'Cash flow data (Input)'!P15</f>
        <v>0</v>
      </c>
      <c r="K76" s="53">
        <f>'Cash flow data (Input)'!Q15</f>
        <v>0</v>
      </c>
    </row>
    <row r="77" spans="2:11" outlineLevel="1" x14ac:dyDescent="0.45">
      <c r="B77" t="s">
        <v>121</v>
      </c>
      <c r="C77" s="53">
        <f>'Cash flow data (Input)'!I16</f>
        <v>-66410</v>
      </c>
      <c r="D77" s="53">
        <f>'Cash flow data (Input)'!J16</f>
        <v>-69159</v>
      </c>
      <c r="E77" s="53">
        <f>'Cash flow data (Input)'!K16</f>
        <v>-79410</v>
      </c>
      <c r="F77" s="53">
        <f>'Cash flow data (Input)'!L16</f>
        <v>-37482</v>
      </c>
      <c r="G77" s="53">
        <f>'Cash flow data (Input)'!M16</f>
        <v>-46738</v>
      </c>
      <c r="H77" s="53">
        <f>'Cash flow data (Input)'!N16</f>
        <v>-59951</v>
      </c>
      <c r="I77" s="53">
        <f>'Cash flow data (Input)'!O16</f>
        <v>-75800</v>
      </c>
      <c r="J77" s="53">
        <f>'Cash flow data (Input)'!P16</f>
        <v>-78118</v>
      </c>
      <c r="K77" s="53">
        <f>'Cash flow data (Input)'!Q16</f>
        <v>-82753</v>
      </c>
    </row>
    <row r="78" spans="2:11" outlineLevel="1" x14ac:dyDescent="0.45">
      <c r="B78" t="s">
        <v>122</v>
      </c>
      <c r="C78" s="53">
        <f>'Cash flow data (Input)'!I17</f>
        <v>52048</v>
      </c>
      <c r="D78" s="53">
        <f>'Cash flow data (Input)'!J17</f>
        <v>74003</v>
      </c>
      <c r="E78" s="53">
        <f>'Cash flow data (Input)'!K17</f>
        <v>78098</v>
      </c>
      <c r="F78" s="53">
        <f>'Cash flow data (Input)'!L17</f>
        <v>38861</v>
      </c>
      <c r="G78" s="53">
        <f>'Cash flow data (Input)'!M17</f>
        <v>40381</v>
      </c>
      <c r="H78" s="53">
        <f>'Cash flow data (Input)'!N17</f>
        <v>57356</v>
      </c>
      <c r="I78" s="53">
        <f>'Cash flow data (Input)'!O17</f>
        <v>76722</v>
      </c>
      <c r="J78" s="53">
        <f>'Cash flow data (Input)'!P17</f>
        <v>72956</v>
      </c>
      <c r="K78" s="53">
        <f>'Cash flow data (Input)'!Q17</f>
        <v>84888</v>
      </c>
    </row>
    <row r="79" spans="2:11" outlineLevel="1" x14ac:dyDescent="0.45">
      <c r="B79" t="s">
        <v>123</v>
      </c>
      <c r="C79" s="53">
        <f>'Cash flow data (Input)'!I18</f>
        <v>0</v>
      </c>
      <c r="D79" s="53">
        <f>'Cash flow data (Input)'!J18</f>
        <v>0</v>
      </c>
      <c r="E79" s="53">
        <f>'Cash flow data (Input)'!K18</f>
        <v>0</v>
      </c>
      <c r="F79" s="53">
        <f>'Cash flow data (Input)'!L18</f>
        <v>0</v>
      </c>
      <c r="G79" s="53">
        <f>'Cash flow data (Input)'!M18</f>
        <v>0</v>
      </c>
      <c r="H79" s="53">
        <f>'Cash flow data (Input)'!N18</f>
        <v>0</v>
      </c>
      <c r="I79" s="53">
        <f>'Cash flow data (Input)'!O18</f>
        <v>0</v>
      </c>
      <c r="J79" s="53">
        <f>'Cash flow data (Input)'!P18</f>
        <v>0</v>
      </c>
      <c r="K79" s="53">
        <f>'Cash flow data (Input)'!Q18</f>
        <v>0</v>
      </c>
    </row>
    <row r="80" spans="2:11" outlineLevel="1" x14ac:dyDescent="0.45">
      <c r="B80" t="s">
        <v>124</v>
      </c>
      <c r="C80" s="53">
        <f>'Cash flow data (Input)'!I19</f>
        <v>2753</v>
      </c>
      <c r="D80" s="53">
        <f>'Cash flow data (Input)'!J19</f>
        <v>1768</v>
      </c>
      <c r="E80" s="53">
        <f>'Cash flow data (Input)'!K19</f>
        <v>1557</v>
      </c>
      <c r="F80" s="53">
        <f>'Cash flow data (Input)'!L19</f>
        <v>1929</v>
      </c>
      <c r="G80" s="53">
        <f>'Cash flow data (Input)'!M19</f>
        <v>1418</v>
      </c>
      <c r="H80" s="53">
        <f>'Cash flow data (Input)'!N19</f>
        <v>1898</v>
      </c>
      <c r="I80" s="53">
        <f>'Cash flow data (Input)'!O19</f>
        <v>1525</v>
      </c>
      <c r="J80" s="53">
        <f>'Cash flow data (Input)'!P19</f>
        <v>1768</v>
      </c>
      <c r="K80" s="53">
        <f>'Cash flow data (Input)'!Q19</f>
        <v>2040</v>
      </c>
    </row>
    <row r="81" spans="2:11" outlineLevel="1" x14ac:dyDescent="0.45">
      <c r="B81" t="s">
        <v>125</v>
      </c>
      <c r="C81" s="53">
        <f>'Cash flow data (Input)'!I20</f>
        <v>0</v>
      </c>
      <c r="D81" s="53">
        <f>'Cash flow data (Input)'!J20</f>
        <v>0</v>
      </c>
      <c r="E81" s="53">
        <f>'Cash flow data (Input)'!K20</f>
        <v>0</v>
      </c>
      <c r="F81" s="53">
        <f>'Cash flow data (Input)'!L20</f>
        <v>0</v>
      </c>
      <c r="G81" s="53">
        <f>'Cash flow data (Input)'!M20</f>
        <v>0</v>
      </c>
      <c r="H81" s="53">
        <f>'Cash flow data (Input)'!N20</f>
        <v>0</v>
      </c>
      <c r="I81" s="53">
        <f>'Cash flow data (Input)'!O20</f>
        <v>0</v>
      </c>
      <c r="J81" s="53">
        <f>'Cash flow data (Input)'!P20</f>
        <v>0</v>
      </c>
      <c r="K81" s="53">
        <f>'Cash flow data (Input)'!Q20</f>
        <v>0</v>
      </c>
    </row>
    <row r="82" spans="2:11" outlineLevel="1" x14ac:dyDescent="0.45">
      <c r="B82" t="s">
        <v>126</v>
      </c>
      <c r="C82" s="53">
        <f>'Cash flow data (Input)'!I22</f>
        <v>-131</v>
      </c>
      <c r="D82" s="53">
        <f>'Cash flow data (Input)'!J22</f>
        <v>49</v>
      </c>
      <c r="E82" s="53">
        <f>'Cash flow data (Input)'!K22</f>
        <v>1592</v>
      </c>
      <c r="F82" s="53">
        <f>'Cash flow data (Input)'!L22</f>
        <v>-224</v>
      </c>
      <c r="G82" s="53">
        <f>'Cash flow data (Input)'!M22</f>
        <v>-327</v>
      </c>
      <c r="H82" s="53">
        <f>'Cash flow data (Input)'!N22</f>
        <v>-3627</v>
      </c>
      <c r="I82" s="53">
        <f>'Cash flow data (Input)'!O22</f>
        <v>-939</v>
      </c>
      <c r="J82" s="53">
        <f>'Cash flow data (Input)'!P22</f>
        <v>502</v>
      </c>
      <c r="K82" s="53">
        <f>'Cash flow data (Input)'!Q22</f>
        <v>-3802</v>
      </c>
    </row>
    <row r="83" spans="2:11" outlineLevel="1" x14ac:dyDescent="0.45">
      <c r="B83" t="s">
        <v>139</v>
      </c>
      <c r="C83" s="53">
        <f>'Cash flow data (Input)'!I21</f>
        <v>-164</v>
      </c>
      <c r="D83" s="53">
        <f>'Cash flow data (Input)'!J21</f>
        <v>-130</v>
      </c>
      <c r="E83" s="53">
        <f>'Cash flow data (Input)'!K21</f>
        <v>-24</v>
      </c>
      <c r="F83" s="53">
        <f>'Cash flow data (Input)'!L21</f>
        <v>-108</v>
      </c>
      <c r="G83" s="53">
        <f>'Cash flow data (Input)'!M21</f>
        <v>0</v>
      </c>
      <c r="H83" s="53">
        <f>'Cash flow data (Input)'!N21</f>
        <v>0</v>
      </c>
      <c r="I83" s="53">
        <f>'Cash flow data (Input)'!O21</f>
        <v>0</v>
      </c>
      <c r="J83" s="53">
        <f>'Cash flow data (Input)'!P21</f>
        <v>0</v>
      </c>
      <c r="K83" s="53">
        <f>'Cash flow data (Input)'!Q21</f>
        <v>0</v>
      </c>
    </row>
    <row r="84" spans="2:11" outlineLevel="1" x14ac:dyDescent="0.45">
      <c r="B84" s="26" t="s">
        <v>135</v>
      </c>
      <c r="C84" s="54">
        <f>SUM(C75:C83)</f>
        <v>-14664</v>
      </c>
      <c r="D84" s="54">
        <f t="shared" ref="D84:K84" si="19">SUM(D75:D83)</f>
        <v>4533</v>
      </c>
      <c r="E84" s="54">
        <f t="shared" si="19"/>
        <v>-632</v>
      </c>
      <c r="F84" s="54">
        <f t="shared" si="19"/>
        <v>-331</v>
      </c>
      <c r="G84" s="54">
        <f t="shared" si="19"/>
        <v>-7373</v>
      </c>
      <c r="H84" s="54">
        <f t="shared" si="19"/>
        <v>-6485</v>
      </c>
      <c r="I84" s="54">
        <f t="shared" si="19"/>
        <v>-1071</v>
      </c>
      <c r="J84" s="54">
        <f t="shared" si="19"/>
        <v>-5093</v>
      </c>
      <c r="K84" s="54">
        <f t="shared" si="19"/>
        <v>-1864</v>
      </c>
    </row>
    <row r="85" spans="2:11" outlineLevel="1" x14ac:dyDescent="0.45">
      <c r="C85" s="53"/>
      <c r="D85" s="53"/>
      <c r="E85" s="53"/>
      <c r="F85" s="53"/>
      <c r="G85" s="53"/>
      <c r="H85" s="53"/>
      <c r="I85" s="53"/>
      <c r="J85" s="53"/>
      <c r="K85" s="53"/>
    </row>
    <row r="86" spans="2:11" outlineLevel="1" x14ac:dyDescent="0.45">
      <c r="B86" s="2" t="s">
        <v>136</v>
      </c>
      <c r="C86" s="53"/>
      <c r="D86" s="53"/>
      <c r="E86" s="53"/>
      <c r="F86" s="53"/>
      <c r="G86" s="53"/>
      <c r="H86" s="53"/>
      <c r="I86" s="53"/>
      <c r="J86" s="53"/>
      <c r="K86" s="53"/>
    </row>
    <row r="87" spans="2:11" outlineLevel="1" x14ac:dyDescent="0.45">
      <c r="B87" t="s">
        <v>128</v>
      </c>
      <c r="C87" s="53">
        <f>'Cash flow data (Input)'!I24</f>
        <v>0</v>
      </c>
      <c r="D87" s="53">
        <f>'Cash flow data (Input)'!J24</f>
        <v>5</v>
      </c>
      <c r="E87" s="53">
        <f>'Cash flow data (Input)'!K24</f>
        <v>6</v>
      </c>
      <c r="F87" s="53">
        <f>'Cash flow data (Input)'!L24</f>
        <v>6</v>
      </c>
      <c r="G87" s="53">
        <f>'Cash flow data (Input)'!M24</f>
        <v>15</v>
      </c>
      <c r="H87" s="53">
        <f>'Cash flow data (Input)'!N24</f>
        <v>21</v>
      </c>
      <c r="I87" s="53">
        <f>'Cash flow data (Input)'!O24</f>
        <v>35</v>
      </c>
      <c r="J87" s="53">
        <f>'Cash flow data (Input)'!P24</f>
        <v>5</v>
      </c>
      <c r="K87" s="53">
        <f>'Cash flow data (Input)'!Q24</f>
        <v>6</v>
      </c>
    </row>
    <row r="88" spans="2:11" outlineLevel="1" x14ac:dyDescent="0.45">
      <c r="B88" t="s">
        <v>129</v>
      </c>
      <c r="C88" s="53">
        <f>'Cash flow data (Input)'!I26</f>
        <v>-6939</v>
      </c>
      <c r="D88" s="53">
        <f>'Cash flow data (Input)'!J26</f>
        <v>-7464</v>
      </c>
      <c r="E88" s="53">
        <f>'Cash flow data (Input)'!K26</f>
        <v>-13705</v>
      </c>
      <c r="F88" s="53">
        <f>'Cash flow data (Input)'!L26</f>
        <v>-9548</v>
      </c>
      <c r="G88" s="53">
        <f>'Cash flow data (Input)'!M26</f>
        <v>-9137</v>
      </c>
      <c r="H88" s="53">
        <f>'Cash flow data (Input)'!N26</f>
        <v>-12731</v>
      </c>
      <c r="I88" s="53">
        <f>'Cash flow data (Input)'!O26</f>
        <v>-13653</v>
      </c>
      <c r="J88" s="53">
        <f>'Cash flow data (Input)'!P26</f>
        <v>-14731</v>
      </c>
      <c r="K88" s="53">
        <f>'Cash flow data (Input)'!Q26</f>
        <v>-20289</v>
      </c>
    </row>
    <row r="89" spans="2:11" outlineLevel="1" x14ac:dyDescent="0.45">
      <c r="B89" t="s">
        <v>130</v>
      </c>
      <c r="C89" s="53">
        <f>'Cash flow data (Input)'!I27</f>
        <v>0</v>
      </c>
      <c r="D89" s="53">
        <f>'Cash flow data (Input)'!J27</f>
        <v>0</v>
      </c>
      <c r="E89" s="53">
        <f>'Cash flow data (Input)'!K27</f>
        <v>0</v>
      </c>
      <c r="F89" s="53">
        <f>'Cash flow data (Input)'!L27</f>
        <v>-571</v>
      </c>
      <c r="G89" s="53">
        <f>'Cash flow data (Input)'!M27</f>
        <v>-698</v>
      </c>
      <c r="H89" s="53">
        <f>'Cash flow data (Input)'!N27</f>
        <v>-915</v>
      </c>
      <c r="I89" s="53">
        <f>'Cash flow data (Input)'!O27</f>
        <v>-1231</v>
      </c>
      <c r="J89" s="53">
        <f>'Cash flow data (Input)'!P27</f>
        <v>-2024</v>
      </c>
      <c r="K89" s="53">
        <f>'Cash flow data (Input)'!Q27</f>
        <v>-2355</v>
      </c>
    </row>
    <row r="90" spans="2:11" outlineLevel="1" x14ac:dyDescent="0.45">
      <c r="B90" t="s">
        <v>131</v>
      </c>
      <c r="C90" s="53">
        <f>'Cash flow data (Input)'!I28</f>
        <v>0</v>
      </c>
      <c r="D90" s="53">
        <f>'Cash flow data (Input)'!J28</f>
        <v>-13046</v>
      </c>
      <c r="E90" s="53">
        <f>'Cash flow data (Input)'!K28</f>
        <v>-813</v>
      </c>
      <c r="F90" s="53">
        <f>'Cash flow data (Input)'!L28</f>
        <v>-7478</v>
      </c>
      <c r="G90" s="53">
        <f>'Cash flow data (Input)'!M28</f>
        <v>34</v>
      </c>
      <c r="H90" s="53">
        <f>'Cash flow data (Input)'!N28</f>
        <v>-11017</v>
      </c>
      <c r="I90" s="53">
        <f>'Cash flow data (Input)'!O28</f>
        <v>-11846</v>
      </c>
      <c r="J90" s="53">
        <f>'Cash flow data (Input)'!P28</f>
        <v>-754</v>
      </c>
      <c r="K90" s="53">
        <f>'Cash flow data (Input)'!Q28</f>
        <v>-538</v>
      </c>
    </row>
    <row r="91" spans="2:11" outlineLevel="1" x14ac:dyDescent="0.45">
      <c r="B91" t="s">
        <v>140</v>
      </c>
      <c r="C91" s="53">
        <f>'Cash flow data (Input)'!I25</f>
        <v>0</v>
      </c>
      <c r="D91" s="53">
        <f>'Cash flow data (Input)'!J25</f>
        <v>0</v>
      </c>
      <c r="E91" s="53">
        <f>'Cash flow data (Input)'!K25</f>
        <v>0</v>
      </c>
      <c r="F91" s="53">
        <f>'Cash flow data (Input)'!L25</f>
        <v>0</v>
      </c>
      <c r="G91" s="53">
        <f>'Cash flow data (Input)'!M25</f>
        <v>0</v>
      </c>
      <c r="H91" s="53">
        <f>'Cash flow data (Input)'!N25</f>
        <v>0</v>
      </c>
      <c r="I91" s="53">
        <f>'Cash flow data (Input)'!O25</f>
        <v>0</v>
      </c>
      <c r="J91" s="53">
        <f>'Cash flow data (Input)'!P25</f>
        <v>0</v>
      </c>
      <c r="K91" s="53">
        <f>'Cash flow data (Input)'!Q25</f>
        <v>-985</v>
      </c>
    </row>
    <row r="92" spans="2:11" outlineLevel="1" x14ac:dyDescent="0.45">
      <c r="B92" s="26" t="s">
        <v>133</v>
      </c>
      <c r="C92" s="54">
        <f>SUM(C87:C91)</f>
        <v>-6939</v>
      </c>
      <c r="D92" s="54">
        <f t="shared" ref="D92:K92" si="20">SUM(D87:D91)</f>
        <v>-20505</v>
      </c>
      <c r="E92" s="54">
        <f t="shared" si="20"/>
        <v>-14512</v>
      </c>
      <c r="F92" s="54">
        <f t="shared" si="20"/>
        <v>-17591</v>
      </c>
      <c r="G92" s="54">
        <f t="shared" si="20"/>
        <v>-9786</v>
      </c>
      <c r="H92" s="54">
        <f t="shared" si="20"/>
        <v>-24642</v>
      </c>
      <c r="I92" s="54">
        <f t="shared" si="20"/>
        <v>-26695</v>
      </c>
      <c r="J92" s="54">
        <f t="shared" si="20"/>
        <v>-17504</v>
      </c>
      <c r="K92" s="54">
        <f t="shared" si="20"/>
        <v>-24161</v>
      </c>
    </row>
    <row r="93" spans="2:11" outlineLevel="1" x14ac:dyDescent="0.45">
      <c r="C93" s="53"/>
      <c r="D93" s="53"/>
      <c r="E93" s="53"/>
      <c r="F93" s="53"/>
      <c r="G93" s="53"/>
      <c r="H93" s="53"/>
      <c r="I93" s="53"/>
      <c r="J93" s="53"/>
      <c r="K93" s="53"/>
    </row>
    <row r="94" spans="2:11" ht="14.65" outlineLevel="1" thickBot="1" x14ac:dyDescent="0.5">
      <c r="C94" s="53"/>
      <c r="D94" s="53"/>
      <c r="E94" s="53"/>
      <c r="F94" s="53"/>
      <c r="G94" s="53"/>
      <c r="H94" s="53"/>
      <c r="I94" s="53"/>
      <c r="J94" s="53"/>
      <c r="K94" s="53"/>
    </row>
    <row r="95" spans="2:11" ht="15" outlineLevel="1" thickTop="1" thickBot="1" x14ac:dyDescent="0.5">
      <c r="B95" s="55" t="s">
        <v>35</v>
      </c>
      <c r="C95" s="56">
        <f t="shared" ref="C95:K95" si="21">C72+C84+C92</f>
        <v>-10072</v>
      </c>
      <c r="D95" s="56">
        <f t="shared" si="21"/>
        <v>-2754</v>
      </c>
      <c r="E95" s="56">
        <f t="shared" si="21"/>
        <v>-303</v>
      </c>
      <c r="F95" s="56">
        <f t="shared" si="21"/>
        <v>-919</v>
      </c>
      <c r="G95" s="56">
        <f t="shared" si="21"/>
        <v>6065</v>
      </c>
      <c r="H95" s="56">
        <f t="shared" si="21"/>
        <v>-7242</v>
      </c>
      <c r="I95" s="56">
        <f t="shared" si="21"/>
        <v>-5299</v>
      </c>
      <c r="J95" s="56">
        <f t="shared" si="21"/>
        <v>2613</v>
      </c>
      <c r="K95" s="56">
        <f t="shared" si="21"/>
        <v>9669</v>
      </c>
    </row>
    <row r="96" spans="2:11" ht="14.65" thickTop="1" x14ac:dyDescent="0.45"/>
  </sheetData>
  <mergeCells count="1">
    <mergeCell ref="B2:L2"/>
  </mergeCells>
  <pageMargins left="0.7" right="0.7" top="0.75" bottom="0.75" header="0.3" footer="0.3"/>
  <ignoredErrors>
    <ignoredError sqref="L25:L26 C10:I10 G16 D16:F16 J10:J11 K10:L10 H16:K16 L22 L30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9BD68-C004-4FBA-8B17-3A3926DE57BA}">
  <sheetPr>
    <tabColor rgb="FF002060"/>
  </sheetPr>
  <dimension ref="B2:O37"/>
  <sheetViews>
    <sheetView showGridLines="0" zoomScale="121" zoomScaleNormal="85" workbookViewId="0">
      <pane ySplit="3" topLeftCell="A19" activePane="bottomLeft" state="frozen"/>
      <selection pane="bottomLeft" activeCell="C33" sqref="C33"/>
    </sheetView>
  </sheetViews>
  <sheetFormatPr defaultRowHeight="14.25" x14ac:dyDescent="0.45"/>
  <cols>
    <col min="1" max="1" width="1.9296875" customWidth="1"/>
    <col min="2" max="2" width="26.6640625" customWidth="1"/>
    <col min="6" max="9" width="9.59765625" bestFit="1" customWidth="1"/>
    <col min="12" max="12" width="13.1328125" customWidth="1"/>
    <col min="13" max="14" width="9.73046875" bestFit="1" customWidth="1"/>
  </cols>
  <sheetData>
    <row r="2" spans="2:15" x14ac:dyDescent="0.45">
      <c r="B2" s="116" t="s">
        <v>170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58"/>
    </row>
    <row r="3" spans="2:15" x14ac:dyDescent="0.45">
      <c r="B3" s="21" t="s">
        <v>81</v>
      </c>
      <c r="C3" s="22">
        <v>42825</v>
      </c>
      <c r="D3" s="22">
        <v>43190</v>
      </c>
      <c r="E3" s="22">
        <v>43555</v>
      </c>
      <c r="F3" s="22">
        <v>43921</v>
      </c>
      <c r="G3" s="22">
        <v>44286</v>
      </c>
      <c r="H3" s="22">
        <v>44651</v>
      </c>
      <c r="I3" s="22">
        <v>45016</v>
      </c>
      <c r="J3" s="22">
        <v>45382</v>
      </c>
      <c r="K3" s="22">
        <v>45747</v>
      </c>
      <c r="L3" s="57" t="s">
        <v>141</v>
      </c>
      <c r="M3" s="57" t="s">
        <v>142</v>
      </c>
      <c r="N3" s="57" t="s">
        <v>143</v>
      </c>
    </row>
    <row r="5" spans="2:15" x14ac:dyDescent="0.45">
      <c r="B5" s="61" t="s">
        <v>22</v>
      </c>
      <c r="C5" s="62" t="str">
        <f>'3 Statement Model'!C8</f>
        <v>-</v>
      </c>
      <c r="D5" s="62">
        <f>IFERROR('3 Statement Model'!D8,0)</f>
        <v>2.9758775772443125E-2</v>
      </c>
      <c r="E5" s="62">
        <f>IFERROR('3 Statement Model'!E8,0)</f>
        <v>0.17232920223476356</v>
      </c>
      <c r="F5" s="62">
        <f>IFERROR('3 Statement Model'!F8,0)</f>
        <v>9.8167523435137571E-2</v>
      </c>
      <c r="G5" s="62">
        <f>IFERROR('3 Statement Model'!G8,0)</f>
        <v>0.10662951173574475</v>
      </c>
      <c r="H5" s="62">
        <f>IFERROR('3 Statement Model'!H8,0)</f>
        <v>0.21069551715900947</v>
      </c>
      <c r="I5" s="62">
        <f>IFERROR('3 Statement Model'!I8,0)</f>
        <v>0.20655864387829759</v>
      </c>
      <c r="J5" s="62">
        <f>IFERROR('3 Statement Model'!J8,0)</f>
        <v>4.7033733741236095E-2</v>
      </c>
      <c r="K5" s="62">
        <f>IFERROR('3 Statement Model'!K8,0)</f>
        <v>6.0649443612936782E-2</v>
      </c>
      <c r="L5" s="63"/>
      <c r="M5" s="62">
        <f>IFERROR(AVERAGE(D5:K5),0)</f>
        <v>0.11647779394619612</v>
      </c>
      <c r="N5" s="62">
        <f>IFERROR(MEDIAN(D5:K5),0)</f>
        <v>0.10239851758544116</v>
      </c>
    </row>
    <row r="6" spans="2:15" x14ac:dyDescent="0.45">
      <c r="B6" s="59" t="s">
        <v>145</v>
      </c>
      <c r="C6" s="33" t="s">
        <v>101</v>
      </c>
      <c r="D6" s="91">
        <f>IFERROR('3 Statement Model'!D19/'3 Statement Model'!C19-1,0)</f>
        <v>1.1717910126854525E-2</v>
      </c>
      <c r="E6" s="91">
        <f>IFERROR('3 Statement Model'!E19/'3 Statement Model'!D19-1,0)</f>
        <v>7.1618318988417862E-2</v>
      </c>
      <c r="F6" s="91">
        <f>IFERROR('3 Statement Model'!F19/'3 Statement Model'!E19-1,0)</f>
        <v>0.10396628656420437</v>
      </c>
      <c r="G6" s="91">
        <f>IFERROR('3 Statement Model'!G19/'3 Statement Model'!F19-1,0)</f>
        <v>0.25248125028068436</v>
      </c>
      <c r="H6" s="91">
        <f>IFERROR('3 Statement Model'!H19/'3 Statement Model'!G19-1,0)</f>
        <v>0.12915486392484499</v>
      </c>
      <c r="I6" s="91">
        <f>IFERROR('3 Statement Model'!I19/'3 Statement Model'!H19-1,0)</f>
        <v>0.1155568257597408</v>
      </c>
      <c r="J6" s="91">
        <f>IFERROR('3 Statement Model'!J19/'3 Statement Model'!I19-1,0)</f>
        <v>3.6863079988613823E-2</v>
      </c>
      <c r="K6" s="91">
        <f>IFERROR('3 Statement Model'!K19/'3 Statement Model'!J19-1,0)</f>
        <v>7.7172271791352109E-2</v>
      </c>
      <c r="M6" s="91">
        <f>IFERROR(AVERAGE(D6:K6),0)</f>
        <v>9.9816350928089104E-2</v>
      </c>
      <c r="N6" s="91">
        <f>IFERROR(MEDIAN(D6:K6),0)</f>
        <v>9.0569279177778239E-2</v>
      </c>
    </row>
    <row r="7" spans="2:15" x14ac:dyDescent="0.45">
      <c r="B7" s="92" t="s">
        <v>146</v>
      </c>
      <c r="C7" s="60" t="s">
        <v>101</v>
      </c>
      <c r="D7" s="91">
        <f>IFERROR('3 Statement Model'!D24/'3 Statement Model'!C24-1,0)</f>
        <v>3.4317496006153192E-3</v>
      </c>
      <c r="E7" s="91">
        <f>IFERROR('3 Statement Model'!E24/'3 Statement Model'!D24-1,0)</f>
        <v>7.0758889085441368E-2</v>
      </c>
      <c r="F7" s="91">
        <f>IFERROR('3 Statement Model'!F24/'3 Statement Model'!E24-1,0)</f>
        <v>6.6908970758301711E-2</v>
      </c>
      <c r="G7" s="91">
        <f>IFERROR('3 Statement Model'!G24/'3 Statement Model'!F24-1,0)</f>
        <v>0.27087849695468158</v>
      </c>
      <c r="H7" s="91">
        <f>IFERROR('3 Statement Model'!H24/'3 Statement Model'!G24-1,0)</f>
        <v>0.13780359028511091</v>
      </c>
      <c r="I7" s="91">
        <f>IFERROR('3 Statement Model'!I24/'3 Statement Model'!H24-1,0)</f>
        <v>0.10315902195252535</v>
      </c>
      <c r="J7" s="91">
        <f>IFERROR('3 Statement Model'!J24/'3 Statement Model'!I24-1,0)</f>
        <v>2.7244782397670253E-2</v>
      </c>
      <c r="K7" s="91">
        <f>IFERROR('3 Statement Model'!K24/'3 Statement Model'!J24-1,0)</f>
        <v>8.4322928150691423E-2</v>
      </c>
      <c r="M7" s="91">
        <f t="shared" ref="M7:M9" si="0">IFERROR(AVERAGE(D7:K7),0)</f>
        <v>9.556355364812974E-2</v>
      </c>
      <c r="N7" s="91">
        <f t="shared" ref="N7:N9" si="1">IFERROR(MEDIAN(D7:K7),0)</f>
        <v>7.7540908618066395E-2</v>
      </c>
    </row>
    <row r="8" spans="2:15" x14ac:dyDescent="0.45">
      <c r="B8" s="92" t="s">
        <v>147</v>
      </c>
      <c r="C8" s="93" t="s">
        <v>101</v>
      </c>
      <c r="D8" s="91">
        <f>IFERROR('3 Statement Model'!D33/'3 Statement Model'!C33-1,0)</f>
        <v>0.11677001323765057</v>
      </c>
      <c r="E8" s="91">
        <f>IFERROR('3 Statement Model'!E33/'3 Statement Model'!D33-1,0)</f>
        <v>-3.8617505770790483E-2</v>
      </c>
      <c r="F8" s="91">
        <f>IFERROR('3 Statement Model'!F33/'3 Statement Model'!E33-1,0)</f>
        <v>7.975340687865029E-2</v>
      </c>
      <c r="G8" s="91">
        <f>IFERROR('3 Statement Model'!G33/'3 Statement Model'!F33-1,0)</f>
        <v>0.16731774746078498</v>
      </c>
      <c r="H8" s="91">
        <f>IFERROR('3 Statement Model'!H33/'3 Statement Model'!G33-1,0)</f>
        <v>0.14019461463213712</v>
      </c>
      <c r="I8" s="91">
        <f>IFERROR('3 Statement Model'!I33/'3 Statement Model'!H33-1,0)</f>
        <v>8.8593876998103394E-2</v>
      </c>
      <c r="J8" s="91">
        <f>IFERROR('3 Statement Model'!J33/'3 Statement Model'!I33-1,0)</f>
        <v>8.8767214202754241E-2</v>
      </c>
      <c r="K8" s="91">
        <f>IFERROR('3 Statement Model'!K33/'3 Statement Model'!J33-1,0)</f>
        <v>1.9125266686985665E-2</v>
      </c>
      <c r="M8" s="91">
        <f t="shared" si="0"/>
        <v>8.2738079290784472E-2</v>
      </c>
      <c r="N8" s="91">
        <f t="shared" si="1"/>
        <v>8.8680545600428817E-2</v>
      </c>
    </row>
    <row r="9" spans="2:15" x14ac:dyDescent="0.45">
      <c r="B9" s="64" t="s">
        <v>148</v>
      </c>
      <c r="C9" s="65" t="s">
        <v>101</v>
      </c>
      <c r="D9" s="66">
        <f>IFERROR('3 Statement Model'!D40/'3 Statement Model'!C40-1,0)</f>
        <v>0.60662638332541241</v>
      </c>
      <c r="E9" s="66">
        <f>IFERROR('3 Statement Model'!E40/'3 Statement Model'!D40-1,0)</f>
        <v>2.4659423849324735E-2</v>
      </c>
      <c r="F9" s="66">
        <f>IFERROR('3 Statement Model'!F40/'3 Statement Model'!E40-1,0)</f>
        <v>-0.19481593702043465</v>
      </c>
      <c r="G9" s="66">
        <f>IFERROR('3 Statement Model'!G40/'3 Statement Model'!F40-1,0)</f>
        <v>0.58416098234445557</v>
      </c>
      <c r="H9" s="66">
        <f>IFERROR('3 Statement Model'!H40/'3 Statement Model'!G40-1,0)</f>
        <v>0.13364110575098209</v>
      </c>
      <c r="I9" s="66">
        <f>IFERROR('3 Statement Model'!I40/'3 Statement Model'!H40-1,0)</f>
        <v>9.5498140449786773E-2</v>
      </c>
      <c r="J9" s="66">
        <f>IFERROR('3 Statement Model'!J40/'3 Statement Model'!I40-1,0)</f>
        <v>0.37321488190974783</v>
      </c>
      <c r="K9" s="66">
        <f>IFERROR('3 Statement Model'!K40/'3 Statement Model'!J40-1,0)</f>
        <v>-6.4833115969101796E-2</v>
      </c>
      <c r="L9" s="67"/>
      <c r="M9" s="66">
        <f t="shared" si="0"/>
        <v>0.19476898308002161</v>
      </c>
      <c r="N9" s="66">
        <f t="shared" si="1"/>
        <v>0.11456962310038443</v>
      </c>
    </row>
    <row r="10" spans="2:15" x14ac:dyDescent="0.45">
      <c r="B10" s="59"/>
      <c r="C10" s="33"/>
      <c r="D10" s="33"/>
      <c r="E10" s="33"/>
      <c r="F10" s="33"/>
      <c r="G10" s="33"/>
      <c r="H10" s="33"/>
      <c r="I10" s="33"/>
      <c r="J10" s="33"/>
      <c r="K10" s="33"/>
      <c r="M10" s="33"/>
      <c r="N10" s="33"/>
    </row>
    <row r="11" spans="2:15" x14ac:dyDescent="0.45">
      <c r="B11" s="61" t="s">
        <v>149</v>
      </c>
      <c r="C11" s="62">
        <f>IFERROR('3 Statement Model'!C14,0)</f>
        <v>0.34862157584253256</v>
      </c>
      <c r="D11" s="62">
        <f>IFERROR('3 Statement Model'!D14,0)</f>
        <v>0.34212018944442868</v>
      </c>
      <c r="E11" s="62">
        <f>IFERROR('3 Statement Model'!E14,0)</f>
        <v>0.32934986392500754</v>
      </c>
      <c r="F11" s="62">
        <f>IFERROR('3 Statement Model'!F14,0)</f>
        <v>0.31479992510270843</v>
      </c>
      <c r="G11" s="62">
        <f>IFERROR('3 Statement Model'!G14,0)</f>
        <v>0.31831754120550998</v>
      </c>
      <c r="H11" s="62">
        <f>IFERROR('3 Statement Model'!H14,0)</f>
        <v>0.30271043480405457</v>
      </c>
      <c r="I11" s="62">
        <f>IFERROR('3 Statement Model'!I14,0)</f>
        <v>0.28539794367943749</v>
      </c>
      <c r="J11" s="62">
        <f>IFERROR('3 Statement Model'!J14,0)</f>
        <v>0.28398516301164833</v>
      </c>
      <c r="K11" s="62">
        <f>IFERROR('3 Statement Model'!K14,0)</f>
        <v>0.2847107184489846</v>
      </c>
      <c r="L11" s="63"/>
      <c r="M11" s="62">
        <f>IFERROR(AVERAGE(C11:K11),0)</f>
        <v>0.31222370616270134</v>
      </c>
      <c r="N11" s="62">
        <f>IFERROR(MEDIAN(C11:K11),0)</f>
        <v>0.31479992510270843</v>
      </c>
    </row>
    <row r="12" spans="2:15" x14ac:dyDescent="0.45">
      <c r="B12" s="59" t="s">
        <v>150</v>
      </c>
      <c r="C12" s="91">
        <f>IFERROR('3 Statement Model'!C20,0)</f>
        <v>0.27165469306699375</v>
      </c>
      <c r="D12" s="91">
        <f>IFERROR('3 Statement Model'!D20,0)</f>
        <v>0.26689543688494372</v>
      </c>
      <c r="E12" s="91">
        <f>IFERROR('3 Statement Model'!E20,0)</f>
        <v>0.24396734200181433</v>
      </c>
      <c r="F12" s="91">
        <f>IFERROR('3 Statement Model'!F20,0)</f>
        <v>0.24525558700752279</v>
      </c>
      <c r="G12" s="91">
        <f>IFERROR('3 Statement Model'!G20,0)</f>
        <v>0.27757982323433394</v>
      </c>
      <c r="H12" s="91">
        <f>IFERROR('3 Statement Model'!H20,0)</f>
        <v>0.25888475102966929</v>
      </c>
      <c r="I12" s="91">
        <f>IFERROR('3 Statement Model'!I20,0)</f>
        <v>0.23935898396778568</v>
      </c>
      <c r="J12" s="91">
        <f>IFERROR('3 Statement Model'!J20,0)</f>
        <v>0.23703390381987374</v>
      </c>
      <c r="K12" s="91">
        <f>IFERROR('3 Statement Model'!K20,0)</f>
        <v>0.24072642493404503</v>
      </c>
      <c r="M12" s="91">
        <f>IFERROR(AVERAGE(C12:K12),0)</f>
        <v>0.25348410510522024</v>
      </c>
      <c r="N12" s="91">
        <f>IFERROR(MEDIAN(C12:K12),0)</f>
        <v>0.24525558700752279</v>
      </c>
    </row>
    <row r="13" spans="2:15" x14ac:dyDescent="0.45">
      <c r="B13" s="59" t="s">
        <v>151</v>
      </c>
      <c r="C13" s="91">
        <f>IFERROR('3 Statement Model'!C24/'3 Statement Model'!C7,0)</f>
        <v>0.24678757081946148</v>
      </c>
      <c r="D13" s="91">
        <f>IFERROR('3 Statement Model'!D24/'3 Statement Model'!D7,0)</f>
        <v>0.24047814866282863</v>
      </c>
      <c r="E13" s="91">
        <f>IFERROR('3 Statement Model'!E24/'3 Statement Model'!E7,0)</f>
        <v>0.2196431811309344</v>
      </c>
      <c r="F13" s="91">
        <f>IFERROR('3 Statement Model'!F24/'3 Statement Model'!F7,0)</f>
        <v>0.21339119516251612</v>
      </c>
      <c r="G13" s="91">
        <f>IFERROR('3 Statement Model'!G24/'3 Statement Model'!G7,0)</f>
        <v>0.24506330121824987</v>
      </c>
      <c r="H13" s="91">
        <f>IFERROR('3 Statement Model'!H24/'3 Statement Model'!H7,0)</f>
        <v>0.23030885967724699</v>
      </c>
      <c r="I13" s="91">
        <f>IFERROR('3 Statement Model'!I24/'3 Statement Model'!I7,0)</f>
        <v>0.21057185879659596</v>
      </c>
      <c r="J13" s="91">
        <f>IFERROR('3 Statement Model'!J24/'3 Statement Model'!J7,0)</f>
        <v>0.20659204789483959</v>
      </c>
      <c r="K13" s="91">
        <f>IFERROR('3 Statement Model'!K24/'3 Statement Model'!K7,0)</f>
        <v>0.21120314129701209</v>
      </c>
      <c r="M13" s="91">
        <f t="shared" ref="M13:M14" si="2">IFERROR(AVERAGE(C13:K13),0)</f>
        <v>0.2248932560732983</v>
      </c>
      <c r="N13" s="91">
        <f t="shared" ref="N13:N14" si="3">IFERROR(MEDIAN(C13:K13),0)</f>
        <v>0.2196431811309344</v>
      </c>
    </row>
    <row r="14" spans="2:15" x14ac:dyDescent="0.45">
      <c r="B14" s="64" t="s">
        <v>152</v>
      </c>
      <c r="C14" s="66">
        <f>IFERROR('3 Statement Model'!C33/'3 Statement Model'!C7,0)</f>
        <v>0.20958180012849717</v>
      </c>
      <c r="D14" s="66">
        <f>IFERROR('3 Statement Model'!D33/'3 Statement Model'!D7,0)</f>
        <v>0.22729077451008195</v>
      </c>
      <c r="E14" s="66">
        <f>IFERROR('3 Statement Model'!E33/'3 Statement Model'!E7,0)</f>
        <v>0.18639250075597219</v>
      </c>
      <c r="F14" s="66">
        <f>IFERROR('3 Statement Model'!F33/'3 Statement Model'!F7,0)</f>
        <v>0.18326706391602693</v>
      </c>
      <c r="G14" s="66">
        <f>IFERROR('3 Statement Model'!G33/'3 Statement Model'!G7,0)</f>
        <v>0.19331754120550998</v>
      </c>
      <c r="H14" s="66">
        <f>IFERROR('3 Statement Model'!H33/'3 Statement Model'!H7,0)</f>
        <v>0.1820603250548746</v>
      </c>
      <c r="I14" s="66">
        <f>IFERROR('3 Statement Model'!I33/'3 Statement Model'!I7,0)</f>
        <v>0.16426035825492105</v>
      </c>
      <c r="J14" s="66">
        <f>IFERROR('3 Statement Model'!J33/'3 Statement Model'!J7,0)</f>
        <v>0.17080757467300059</v>
      </c>
      <c r="K14" s="66">
        <f>IFERROR('3 Statement Model'!K33/'3 Statement Model'!K7,0)</f>
        <v>0.16412049819007302</v>
      </c>
      <c r="L14" s="67"/>
      <c r="M14" s="66">
        <f t="shared" si="2"/>
        <v>0.18678871518766196</v>
      </c>
      <c r="N14" s="66">
        <f t="shared" si="3"/>
        <v>0.18326706391602693</v>
      </c>
    </row>
    <row r="15" spans="2:15" x14ac:dyDescent="0.45">
      <c r="B15" s="59"/>
      <c r="C15" s="33"/>
      <c r="D15" s="33"/>
      <c r="E15" s="33"/>
      <c r="F15" s="33"/>
      <c r="G15" s="33"/>
      <c r="H15" s="33"/>
      <c r="I15" s="33"/>
      <c r="J15" s="33"/>
      <c r="K15" s="33"/>
      <c r="M15" s="33"/>
      <c r="N15" s="33"/>
    </row>
    <row r="16" spans="2:15" x14ac:dyDescent="0.45">
      <c r="B16" s="61" t="s">
        <v>153</v>
      </c>
      <c r="C16" s="62">
        <f>IFERROR('3 Statement Model'!C17,0)</f>
        <v>7.6966882775538814E-2</v>
      </c>
      <c r="D16" s="62">
        <f>IFERROR('3 Statement Model'!D17,0)</f>
        <v>7.5224752559484978E-2</v>
      </c>
      <c r="E16" s="62">
        <f>IFERROR('3 Statement Model'!E17,0)</f>
        <v>8.5382521923193233E-2</v>
      </c>
      <c r="F16" s="62">
        <f>IFERROR('3 Statement Model'!F17,0)</f>
        <v>6.9544338095185648E-2</v>
      </c>
      <c r="G16" s="62">
        <f>IFERROR('3 Statement Model'!G17,0)</f>
        <v>4.0737717971176049E-2</v>
      </c>
      <c r="H16" s="62">
        <f>IFERROR('3 Statement Model'!H17,0)</f>
        <v>4.3825683774385282E-2</v>
      </c>
      <c r="I16" s="62">
        <f>IFERROR('3 Statement Model'!I17,0)</f>
        <v>4.6038959711651804E-2</v>
      </c>
      <c r="J16" s="62">
        <f>IFERROR('3 Statement Model'!J17,0)</f>
        <v>4.6951259191774584E-2</v>
      </c>
      <c r="K16" s="62">
        <f>IFERROR('3 Statement Model'!K17,0)</f>
        <v>4.3984293514939564E-2</v>
      </c>
      <c r="L16" s="63"/>
      <c r="M16" s="62">
        <f>IFERROR(AVERAGE(C16:K16),0)</f>
        <v>5.8739601057481092E-2</v>
      </c>
      <c r="N16" s="62">
        <f>IFERROR(MEDIAN(C16:K16),0)</f>
        <v>4.6951259191774584E-2</v>
      </c>
    </row>
    <row r="17" spans="2:14" x14ac:dyDescent="0.45">
      <c r="B17" s="59" t="s">
        <v>154</v>
      </c>
      <c r="C17" s="91">
        <f>IFERROR('3 Statement Model'!C22/'3 Statement Model'!C7,0)</f>
        <v>2.4867122247532271E-2</v>
      </c>
      <c r="D17" s="91">
        <f>IFERROR('3 Statement Model'!D22/'3 Statement Model'!D7,0)</f>
        <v>2.6417288222115084E-2</v>
      </c>
      <c r="E17" s="91">
        <f>IFERROR('3 Statement Model'!E22/'3 Statement Model'!E7,0)</f>
        <v>2.4324160870879952E-2</v>
      </c>
      <c r="F17" s="91">
        <f>IFERROR('3 Statement Model'!F22/'3 Statement Model'!F7,0)</f>
        <v>3.1864391845006661E-2</v>
      </c>
      <c r="G17" s="91">
        <f>IFERROR('3 Statement Model'!G22/'3 Statement Model'!G7,0)</f>
        <v>3.2516522016084085E-2</v>
      </c>
      <c r="H17" s="91">
        <f>IFERROR('3 Statement Model'!H22/'3 Statement Model'!H7,0)</f>
        <v>2.8575891352422292E-2</v>
      </c>
      <c r="I17" s="91">
        <f>IFERROR('3 Statement Model'!I22/'3 Statement Model'!I7,0)</f>
        <v>2.8787125171189708E-2</v>
      </c>
      <c r="J17" s="91">
        <f>IFERROR('3 Statement Model'!J22/'3 Statement Model'!J7,0)</f>
        <v>3.0441855925034164E-2</v>
      </c>
      <c r="K17" s="91">
        <f>IFERROR('3 Statement Model'!K22/'3 Statement Model'!K7,0)</f>
        <v>2.9523283637032948E-2</v>
      </c>
      <c r="M17" s="91">
        <f>IFERROR(AVERAGE(C17:K17),0)</f>
        <v>2.8590849031921901E-2</v>
      </c>
      <c r="N17" s="91">
        <f>IFERROR(MEDIAN(C17:K17),0)</f>
        <v>2.8787125171189708E-2</v>
      </c>
    </row>
    <row r="18" spans="2:14" x14ac:dyDescent="0.45">
      <c r="B18" s="64" t="s">
        <v>155</v>
      </c>
      <c r="C18" s="66">
        <f>IFERROR('3 Statement Model'!C24/'3 Statement Model'!C7,0)</f>
        <v>0.24678757081946148</v>
      </c>
      <c r="D18" s="66">
        <f>IFERROR('3 Statement Model'!D24/'3 Statement Model'!D7,0)</f>
        <v>0.24047814866282863</v>
      </c>
      <c r="E18" s="66">
        <f>IFERROR('3 Statement Model'!E24/'3 Statement Model'!E7,0)</f>
        <v>0.2196431811309344</v>
      </c>
      <c r="F18" s="66">
        <f>IFERROR('3 Statement Model'!F24/'3 Statement Model'!F7,0)</f>
        <v>0.21339119516251612</v>
      </c>
      <c r="G18" s="66">
        <f>IFERROR('3 Statement Model'!G24/'3 Statement Model'!G7,0)</f>
        <v>0.24506330121824987</v>
      </c>
      <c r="H18" s="66">
        <f>IFERROR('3 Statement Model'!H24/'3 Statement Model'!H7,0)</f>
        <v>0.23030885967724699</v>
      </c>
      <c r="I18" s="66">
        <f>IFERROR('3 Statement Model'!I24/'3 Statement Model'!I7,0)</f>
        <v>0.21057185879659596</v>
      </c>
      <c r="J18" s="66">
        <f>IFERROR('3 Statement Model'!J24/'3 Statement Model'!J7,0)</f>
        <v>0.20659204789483959</v>
      </c>
      <c r="K18" s="66">
        <f>IFERROR('3 Statement Model'!K24/'3 Statement Model'!K7,0)</f>
        <v>0.21120314129701209</v>
      </c>
      <c r="L18" s="67"/>
      <c r="M18" s="66">
        <f>IFERROR(AVERAGE(C18:K18),0)</f>
        <v>0.2248932560732983</v>
      </c>
      <c r="N18" s="66">
        <f>IFERROR(MEDIAN(C18:K18),0)</f>
        <v>0.2196431811309344</v>
      </c>
    </row>
    <row r="19" spans="2:14" x14ac:dyDescent="0.45">
      <c r="B19" s="59"/>
      <c r="C19" s="33"/>
      <c r="D19" s="33"/>
      <c r="E19" s="33"/>
      <c r="F19" s="33"/>
      <c r="G19" s="33"/>
      <c r="H19" s="33"/>
      <c r="I19" s="33"/>
      <c r="J19" s="33"/>
      <c r="K19" s="33"/>
      <c r="M19" s="33"/>
      <c r="N19" s="33"/>
    </row>
    <row r="20" spans="2:14" x14ac:dyDescent="0.45">
      <c r="B20" s="61" t="s">
        <v>156</v>
      </c>
      <c r="C20" s="62">
        <f>IFERROR('3 Statement Model'!C24/SUM('3 Statement Model'!C47:C49),0)</f>
        <v>0.24500594357948449</v>
      </c>
      <c r="D20" s="62">
        <f>IFERROR('3 Statement Model'!D24/SUM('3 Statement Model'!D47:D49),0)</f>
        <v>0.26121713414352388</v>
      </c>
      <c r="E20" s="62">
        <f>IFERROR('3 Statement Model'!E24/SUM('3 Statement Model'!E47:E49),0)</f>
        <v>0.27959290509330542</v>
      </c>
      <c r="F20" s="62">
        <f>IFERROR('3 Statement Model'!F24/SUM('3 Statement Model'!F47:F49),0)</f>
        <v>0.27644364539189248</v>
      </c>
      <c r="G20" s="62">
        <f>IFERROR('3 Statement Model'!G24/SUM('3 Statement Model'!G47:G49),0)</f>
        <v>0.30145942504530093</v>
      </c>
      <c r="H20" s="62">
        <f>IFERROR('3 Statement Model'!H24/SUM('3 Statement Model'!H47:H49),0)</f>
        <v>0.34661734138374739</v>
      </c>
      <c r="I20" s="62">
        <f>IFERROR('3 Statement Model'!I24/SUM('3 Statement Model'!I47:I49),0)</f>
        <v>0.36920889780899818</v>
      </c>
      <c r="J20" s="62">
        <f>IFERROR('3 Statement Model'!J24/SUM('3 Statement Model'!J47:J49),0)</f>
        <v>0.32906970717802542</v>
      </c>
      <c r="K20" s="62">
        <f>IFERROR('3 Statement Model'!K24/SUM('3 Statement Model'!K47:K49),0)</f>
        <v>0.33085684079004279</v>
      </c>
      <c r="L20" s="63"/>
      <c r="M20" s="62">
        <f>IFERROR(AVERAGE(C20:K20),0)</f>
        <v>0.30438576004603568</v>
      </c>
      <c r="N20" s="62">
        <f>IFERROR(MEDIAN(C20:K20),0)</f>
        <v>0.30145942504530093</v>
      </c>
    </row>
    <row r="21" spans="2:14" x14ac:dyDescent="0.45">
      <c r="B21" s="59" t="s">
        <v>157</v>
      </c>
      <c r="C21" s="91">
        <f>IFERROR('3 Statement Model'!C43,0)</f>
        <v>0.58952135442067854</v>
      </c>
      <c r="D21" s="91">
        <f>IFERROR('3 Statement Model'!D43,0)</f>
        <v>0.40947033501778018</v>
      </c>
      <c r="E21" s="91">
        <f>IFERROR('3 Statement Model'!E43,0)</f>
        <v>0.40152498377676837</v>
      </c>
      <c r="F21" s="91">
        <f>IFERROR('3 Statement Model'!F43,0)</f>
        <v>0.55363904080774096</v>
      </c>
      <c r="G21" s="91">
        <f>IFERROR('3 Statement Model'!G43,0)</f>
        <v>0.40948360191525512</v>
      </c>
      <c r="H21" s="91">
        <f>IFERROR('3 Statement Model'!H43,0)</f>
        <v>0.41264336674794544</v>
      </c>
      <c r="I21" s="91">
        <f>IFERROR('3 Statement Model'!I43,0)</f>
        <v>0.41640949062551846</v>
      </c>
      <c r="J21" s="91">
        <f>IFERROR('3 Statement Model'!J43,0)</f>
        <v>0.27410850350502902</v>
      </c>
      <c r="K21" s="91">
        <f>IFERROR('3 Statement Model'!K43,0)</f>
        <v>0.33354018691588794</v>
      </c>
      <c r="M21" s="91">
        <f t="shared" ref="M21:M23" si="4">IFERROR(AVERAGE(C21:K21),0)</f>
        <v>0.4222600959702893</v>
      </c>
      <c r="N21" s="91">
        <f t="shared" ref="N21:N23" si="5">IFERROR(MEDIAN(C21:K21),0)</f>
        <v>0.40948360191525512</v>
      </c>
    </row>
    <row r="22" spans="2:14" x14ac:dyDescent="0.45">
      <c r="B22" s="59" t="s">
        <v>158</v>
      </c>
      <c r="C22" s="91">
        <f>IFERROR('3 Statement Model'!C33/SUM('3 Statement Model'!C47:C48),0)</f>
        <v>0.20806877156359629</v>
      </c>
      <c r="D22" s="91">
        <f>IFERROR('3 Statement Model'!D33/SUM('3 Statement Model'!D47:D48),0)</f>
        <v>0.24689247262141306</v>
      </c>
      <c r="E22" s="91">
        <f>IFERROR('3 Statement Model'!E33/SUM('3 Statement Model'!E47:E48),0)</f>
        <v>0.23726673646609595</v>
      </c>
      <c r="F22" s="91">
        <f>IFERROR('3 Statement Model'!F33/SUM('3 Statement Model'!F47:F48),0)</f>
        <v>0.25422459893048127</v>
      </c>
      <c r="G22" s="91">
        <f>IFERROR('3 Statement Model'!G33/SUM('3 Statement Model'!G47:G48),0)</f>
        <v>0.2543909051616875</v>
      </c>
      <c r="H22" s="91">
        <f>IFERROR('3 Statement Model'!H33/SUM('3 Statement Model'!H47:H48),0)</f>
        <v>0.29390842733908429</v>
      </c>
      <c r="I22" s="91">
        <f>IFERROR('3 Statement Model'!I33/SUM('3 Statement Model'!I47:I48),0)</f>
        <v>0.31970506716883046</v>
      </c>
      <c r="J22" s="91">
        <f>IFERROR('3 Statement Model'!J33/SUM('3 Statement Model'!J47:J48),0)</f>
        <v>0.29788006718416632</v>
      </c>
      <c r="K22" s="91">
        <f>IFERROR('3 Statement Model'!K33/SUM('3 Statement Model'!K47:K48),0)</f>
        <v>0.27917510279905655</v>
      </c>
      <c r="M22" s="91">
        <f t="shared" si="4"/>
        <v>0.26572357213715692</v>
      </c>
      <c r="N22" s="91">
        <f t="shared" si="5"/>
        <v>0.2543909051616875</v>
      </c>
    </row>
    <row r="23" spans="2:14" x14ac:dyDescent="0.45">
      <c r="B23" s="59" t="s">
        <v>159</v>
      </c>
      <c r="C23" s="91">
        <f>IFERROR(C21*C22,0)</f>
        <v>0.12266098402481805</v>
      </c>
      <c r="D23" s="91">
        <f t="shared" ref="D23:K23" si="6">IFERROR(D21*D22,0)</f>
        <v>0.10109514347765813</v>
      </c>
      <c r="E23" s="91">
        <f t="shared" si="6"/>
        <v>9.5268522510315951E-2</v>
      </c>
      <c r="F23" s="91">
        <f t="shared" si="6"/>
        <v>0.1407486631016043</v>
      </c>
      <c r="G23" s="91">
        <f t="shared" si="6"/>
        <v>0.10416890414008986</v>
      </c>
      <c r="H23" s="91">
        <f t="shared" si="6"/>
        <v>0.12127936297279363</v>
      </c>
      <c r="I23" s="91">
        <f t="shared" si="6"/>
        <v>0.13312822417016987</v>
      </c>
      <c r="J23" s="91">
        <f t="shared" si="6"/>
        <v>8.1651459439829335E-2</v>
      </c>
      <c r="K23" s="91">
        <f t="shared" si="6"/>
        <v>9.3116115969859553E-2</v>
      </c>
      <c r="M23" s="91">
        <f t="shared" si="4"/>
        <v>0.11034637553412652</v>
      </c>
      <c r="N23" s="91">
        <f t="shared" si="5"/>
        <v>0.10416890414008986</v>
      </c>
    </row>
    <row r="24" spans="2:14" x14ac:dyDescent="0.45">
      <c r="B24" s="64" t="s">
        <v>160</v>
      </c>
      <c r="C24" s="94" t="str">
        <f>IFERROR(IF('3 Statement Model'!C26=0,"No Debt",'3 Statement Model'!C24/'3 Statement Model'!C26),0)</f>
        <v>No Debt</v>
      </c>
      <c r="D24" s="94" t="str">
        <f>IFERROR(IF('3 Statement Model'!D26=0,"No Debt",'3 Statement Model'!D24/'3 Statement Model'!D26),0)</f>
        <v>No Debt</v>
      </c>
      <c r="E24" s="94" t="str">
        <f>IFERROR(IF('3 Statement Model'!E26=0,"No Debt",'3 Statement Model'!E24/'3 Statement Model'!E26),0)</f>
        <v>No Debt</v>
      </c>
      <c r="F24" s="94">
        <f>IFERROR(IF('3 Statement Model'!F26=0,"No Debt",'3 Statement Model'!F24/'3 Statement Model'!F26),0)</f>
        <v>113.96470588235294</v>
      </c>
      <c r="G24" s="94">
        <f>IFERROR(IF('3 Statement Model'!G26=0,"No Debt",'3 Statement Model'!G24/'3 Statement Model'!G26),0)</f>
        <v>126.26666666666667</v>
      </c>
      <c r="H24" s="94">
        <f>IFERROR(IF('3 Statement Model'!H26=0,"No Debt",'3 Statement Model'!H24/'3 Statement Model'!H26),0)</f>
        <v>140.07499999999999</v>
      </c>
      <c r="I24" s="94">
        <f>IFERROR(IF('3 Statement Model'!I26=0,"No Debt",'3 Statement Model'!I24/'3 Statement Model'!I26),0)</f>
        <v>108.82042253521126</v>
      </c>
      <c r="J24" s="94">
        <f>IFERROR(IF('3 Statement Model'!J26=0,"No Debt",'3 Statement Model'!J24/'3 Statement Model'!J26),0)</f>
        <v>67.5468085106383</v>
      </c>
      <c r="K24" s="94">
        <f>IFERROR(IF('3 Statement Model'!K26=0,"No Debt",'3 Statement Model'!K24/'3 Statement Model'!K26),0)</f>
        <v>82.75</v>
      </c>
      <c r="L24" s="67"/>
      <c r="M24" s="95">
        <f>IFERROR(AVERAGE(C24:K24),0)</f>
        <v>106.57060059914487</v>
      </c>
      <c r="N24" s="95">
        <f>IFERROR(MEDIAN(C24:K24),0)</f>
        <v>111.3925642087821</v>
      </c>
    </row>
    <row r="25" spans="2:14" x14ac:dyDescent="0.45">
      <c r="B25" s="59"/>
      <c r="C25" s="33"/>
      <c r="D25" s="33"/>
      <c r="E25" s="33"/>
      <c r="F25" s="33"/>
      <c r="G25" s="33"/>
      <c r="H25" s="33"/>
      <c r="I25" s="33"/>
      <c r="J25" s="33"/>
      <c r="K25" s="33"/>
      <c r="N25" s="33"/>
    </row>
    <row r="26" spans="2:14" x14ac:dyDescent="0.45">
      <c r="B26" s="61" t="s">
        <v>161</v>
      </c>
      <c r="C26" s="96">
        <f>IFERROR('3 Statement Model'!C7/'3 Statement Model'!C57,0)</f>
        <v>0.82363977485928708</v>
      </c>
      <c r="D26" s="96">
        <f>IFERROR('3 Statement Model'!D7/'3 Statement Model'!D57,0)</f>
        <v>0.88875726222132601</v>
      </c>
      <c r="E26" s="96">
        <f>IFERROR('3 Statement Model'!E7/'3 Statement Model'!E57,0)</f>
        <v>0.98345347702995267</v>
      </c>
      <c r="F26" s="96">
        <f>IFERROR('3 Statement Model'!F7/'3 Statement Model'!F57,0)</f>
        <v>0.98900871459694994</v>
      </c>
      <c r="G26" s="96">
        <f>IFERROR('3 Statement Model'!G7/'3 Statement Model'!G57,0)</f>
        <v>0.9345276297309113</v>
      </c>
      <c r="H26" s="96">
        <f>IFERROR('3 Statement Model'!H7/'3 Statement Model'!H57,0)</f>
        <v>1.0420803742000702</v>
      </c>
      <c r="I26" s="96">
        <f>IFERROR('3 Statement Model'!I7/'3 Statement Model'!I57,0)</f>
        <v>1.1779431121384314</v>
      </c>
      <c r="J26" s="96">
        <f>IFERROR('3 Statement Model'!J7/'3 Statement Model'!J57,0)</f>
        <v>1.118739079790332</v>
      </c>
      <c r="K26" s="96">
        <f>IFERROR('3 Statement Model'!K7/'3 Statement Model'!K57,0)</f>
        <v>1.1028113264995434</v>
      </c>
      <c r="L26" s="63"/>
      <c r="M26" s="96">
        <f>IFERROR(AVERAGE(C26:K26),0)</f>
        <v>1.0067734167852003</v>
      </c>
      <c r="N26" s="96">
        <f>IFERROR(MEDIAN(C26:K26),0)</f>
        <v>0.98900871459694994</v>
      </c>
    </row>
    <row r="27" spans="2:14" x14ac:dyDescent="0.45">
      <c r="B27" s="59" t="s">
        <v>162</v>
      </c>
      <c r="C27" s="97">
        <f>IFERROR('3 Statement Model'!C7/'3 Statement Model'!C50,0)</f>
        <v>4.8343922066920797</v>
      </c>
      <c r="D27" s="97">
        <f>IFERROR('3 Statement Model'!D7/'3 Statement Model'!D50,0)</f>
        <v>4.8885345903230277</v>
      </c>
      <c r="E27" s="97">
        <f>IFERROR('3 Statement Model'!E7/'3 Statement Model'!E50,0)</f>
        <v>4.3244586253792239</v>
      </c>
      <c r="F27" s="97">
        <f>IFERROR('3 Statement Model'!F7/'3 Statement Model'!F50,0)</f>
        <v>4.1806418934475298</v>
      </c>
      <c r="G27" s="97">
        <f>IFERROR('3 Statement Model'!G7/'3 Statement Model'!G50,0)</f>
        <v>3.8889878072382427</v>
      </c>
      <c r="H27" s="97">
        <f>IFERROR('3 Statement Model'!H7/'3 Statement Model'!H50,0)</f>
        <v>3.3878568444506336</v>
      </c>
      <c r="I27" s="97">
        <f>IFERROR('3 Statement Model'!I7/'3 Statement Model'!I50,0)</f>
        <v>3.5893127904133042</v>
      </c>
      <c r="J27" s="97">
        <f>IFERROR('3 Statement Model'!J7/'3 Statement Model'!J50,0)</f>
        <v>3.7585911703558761</v>
      </c>
      <c r="K27" s="97">
        <f>IFERROR('3 Statement Model'!K7/'3 Statement Model'!K50,0)</f>
        <v>3.7254857142857141</v>
      </c>
      <c r="M27" s="97">
        <f t="shared" ref="M27:M29" si="7">IFERROR(AVERAGE(C27:K27),0)</f>
        <v>4.0642512936206252</v>
      </c>
      <c r="N27" s="97">
        <f t="shared" ref="N27:N29" si="8">IFERROR(MEDIAN(C27:K27),0)</f>
        <v>3.8889878072382427</v>
      </c>
    </row>
    <row r="28" spans="2:14" x14ac:dyDescent="0.45">
      <c r="B28" s="59" t="s">
        <v>163</v>
      </c>
      <c r="C28" s="97">
        <f>IFERROR('3 Statement Model'!C7/'3 Statement Model'!C53,0)</f>
        <v>4.8299597997037873</v>
      </c>
      <c r="D28" s="97">
        <f>IFERROR('3 Statement Model'!D7/'3 Statement Model'!D53,0)</f>
        <v>5.6085573405439799</v>
      </c>
      <c r="E28" s="97">
        <f>IFERROR('3 Statement Model'!E7/'3 Statement Model'!E53,0)</f>
        <v>5.2625716104392106</v>
      </c>
      <c r="F28" s="97">
        <f>IFERROR('3 Statement Model'!F7/'3 Statement Model'!F53,0)</f>
        <v>3.8165118332002188</v>
      </c>
      <c r="G28" s="97">
        <f>IFERROR('3 Statement Model'!G7/'3 Statement Model'!G53,0)</f>
        <v>3.9393060184277591</v>
      </c>
      <c r="H28" s="97">
        <f>IFERROR('3 Statement Model'!H7/'3 Statement Model'!H53,0)</f>
        <v>4.7147674418604648</v>
      </c>
      <c r="I28" s="97">
        <f>IFERROR('3 Statement Model'!I7/'3 Statement Model'!I53,0)</f>
        <v>5.0219674935842598</v>
      </c>
      <c r="J28" s="97">
        <f>IFERROR('3 Statement Model'!J7/'3 Statement Model'!J53,0)</f>
        <v>5.5633190934762142</v>
      </c>
      <c r="K28" s="97">
        <f>IFERROR('3 Statement Model'!K7/'3 Statement Model'!K53,0)</f>
        <v>5.2643648460967025</v>
      </c>
      <c r="M28" s="97">
        <f t="shared" si="7"/>
        <v>4.8912583863702901</v>
      </c>
      <c r="N28" s="97">
        <f t="shared" si="8"/>
        <v>5.0219674935842598</v>
      </c>
    </row>
    <row r="29" spans="2:14" x14ac:dyDescent="0.45">
      <c r="B29" s="64" t="s">
        <v>164</v>
      </c>
      <c r="C29" s="94">
        <f>IFERROR('3 Statement Model'!C7/SUM('3 Statement Model'!C47:C49),0)</f>
        <v>0.99278072540662776</v>
      </c>
      <c r="D29" s="94">
        <f>IFERROR('3 Statement Model'!D7/SUM('3 Statement Model'!D47:D49),0)</f>
        <v>1.0862406235078477</v>
      </c>
      <c r="E29" s="94">
        <f>IFERROR('3 Statement Model'!E7/SUM('3 Statement Model'!E47:E49),0)</f>
        <v>1.2729414300671307</v>
      </c>
      <c r="F29" s="94">
        <f>IFERROR('3 Statement Model'!F7/SUM('3 Statement Model'!F47:F49),0)</f>
        <v>1.2954782186835609</v>
      </c>
      <c r="G29" s="94">
        <f>IFERROR('3 Statement Model'!G7/SUM('3 Statement Model'!G47:G49),0)</f>
        <v>1.230128801606347</v>
      </c>
      <c r="H29" s="94">
        <f>IFERROR('3 Statement Model'!H7/SUM('3 Statement Model'!H47:H49),0)</f>
        <v>1.5050108878550925</v>
      </c>
      <c r="I29" s="94">
        <f>IFERROR('3 Statement Model'!I7/SUM('3 Statement Model'!I47:I49),0)</f>
        <v>1.7533629608391275</v>
      </c>
      <c r="J29" s="94">
        <f>IFERROR('3 Statement Model'!J7/SUM('3 Statement Model'!J47:J49),0)</f>
        <v>1.5928478880538999</v>
      </c>
      <c r="K29" s="94">
        <f>IFERROR('3 Statement Model'!K7/SUM('3 Statement Model'!K47:K49),0)</f>
        <v>1.5665337113748858</v>
      </c>
      <c r="L29" s="67"/>
      <c r="M29" s="94">
        <f t="shared" si="7"/>
        <v>1.3661472497105023</v>
      </c>
      <c r="N29" s="94">
        <f t="shared" si="8"/>
        <v>1.2954782186835609</v>
      </c>
    </row>
    <row r="30" spans="2:14" x14ac:dyDescent="0.45">
      <c r="B30" s="59"/>
      <c r="C30" s="33"/>
      <c r="D30" s="33"/>
      <c r="E30" s="33"/>
      <c r="F30" s="33"/>
      <c r="G30" s="33"/>
      <c r="H30" s="33"/>
      <c r="I30" s="33"/>
      <c r="J30" s="33"/>
      <c r="K30" s="33"/>
      <c r="M30" s="33"/>
      <c r="N30" s="33"/>
    </row>
    <row r="31" spans="2:14" x14ac:dyDescent="0.45">
      <c r="B31" s="61" t="s">
        <v>46</v>
      </c>
      <c r="C31" s="98">
        <f>365/C26</f>
        <v>443.1548974943052</v>
      </c>
      <c r="D31" s="98">
        <f t="shared" ref="D31:K31" si="9">365/D26</f>
        <v>410.68581435580387</v>
      </c>
      <c r="E31" s="98">
        <f t="shared" si="9"/>
        <v>371.14109464771695</v>
      </c>
      <c r="F31" s="98">
        <f t="shared" si="9"/>
        <v>369.05640426914562</v>
      </c>
      <c r="G31" s="98">
        <f t="shared" si="9"/>
        <v>390.5716518034875</v>
      </c>
      <c r="H31" s="98">
        <f t="shared" si="9"/>
        <v>350.26089065364476</v>
      </c>
      <c r="I31" s="98">
        <f t="shared" si="9"/>
        <v>309.86216247521583</v>
      </c>
      <c r="J31" s="98">
        <f t="shared" si="9"/>
        <v>326.26016789223661</v>
      </c>
      <c r="K31" s="98">
        <f t="shared" si="9"/>
        <v>330.97229891404379</v>
      </c>
      <c r="L31" s="63"/>
      <c r="M31" s="98">
        <f>IFERROR(AVERAGE(C31:K31),0)</f>
        <v>366.88504250062221</v>
      </c>
      <c r="N31" s="98">
        <f>IFERROR(MEDIAN(C31:K31),0)</f>
        <v>369.05640426914562</v>
      </c>
    </row>
    <row r="32" spans="2:14" x14ac:dyDescent="0.45">
      <c r="B32" s="59" t="s">
        <v>165</v>
      </c>
      <c r="C32" s="99">
        <f>IFERROR(365/C27,0)</f>
        <v>75.50070089363939</v>
      </c>
      <c r="D32" s="99">
        <f t="shared" ref="D32:K32" si="10">IFERROR(365/D27,0)</f>
        <v>74.664501857576354</v>
      </c>
      <c r="E32" s="99">
        <f t="shared" si="10"/>
        <v>84.403628666465067</v>
      </c>
      <c r="F32" s="99">
        <f t="shared" si="10"/>
        <v>87.307167009945914</v>
      </c>
      <c r="G32" s="99">
        <f t="shared" si="10"/>
        <v>93.854755553786134</v>
      </c>
      <c r="H32" s="99">
        <f t="shared" si="10"/>
        <v>107.73772823307931</v>
      </c>
      <c r="I32" s="99">
        <f t="shared" si="10"/>
        <v>101.69077517425579</v>
      </c>
      <c r="J32" s="99">
        <f t="shared" si="10"/>
        <v>97.110854428320437</v>
      </c>
      <c r="K32" s="99">
        <f t="shared" si="10"/>
        <v>97.973802073746867</v>
      </c>
      <c r="M32" s="99">
        <f t="shared" ref="M32:M33" si="11">IFERROR(AVERAGE(C32:K32),0)</f>
        <v>91.138212654535039</v>
      </c>
      <c r="N32" s="99">
        <f t="shared" ref="N32:N33" si="12">IFERROR(MEDIAN(C32:K32),0)</f>
        <v>93.854755553786134</v>
      </c>
    </row>
    <row r="33" spans="2:14" x14ac:dyDescent="0.45">
      <c r="B33" s="64" t="s">
        <v>166</v>
      </c>
      <c r="C33" s="100">
        <f>IFERROR(C31-C32,0)</f>
        <v>367.65419660066584</v>
      </c>
      <c r="D33" s="100">
        <f t="shared" ref="D33:K33" si="13">IFERROR(D31-D32,0)</f>
        <v>336.02131249822753</v>
      </c>
      <c r="E33" s="100">
        <f t="shared" si="13"/>
        <v>286.73746598125189</v>
      </c>
      <c r="F33" s="100">
        <f t="shared" si="13"/>
        <v>281.74923725919973</v>
      </c>
      <c r="G33" s="100">
        <f t="shared" si="13"/>
        <v>296.71689624970134</v>
      </c>
      <c r="H33" s="100">
        <f t="shared" si="13"/>
        <v>242.52316242056546</v>
      </c>
      <c r="I33" s="100">
        <f t="shared" si="13"/>
        <v>208.17138730096002</v>
      </c>
      <c r="J33" s="100">
        <f t="shared" si="13"/>
        <v>229.14931346391617</v>
      </c>
      <c r="K33" s="100">
        <f t="shared" si="13"/>
        <v>232.99849684029692</v>
      </c>
      <c r="L33" s="67"/>
      <c r="M33" s="100">
        <f t="shared" si="11"/>
        <v>275.74682984608722</v>
      </c>
      <c r="N33" s="100">
        <f t="shared" si="12"/>
        <v>281.74923725919973</v>
      </c>
    </row>
    <row r="34" spans="2:14" x14ac:dyDescent="0.45">
      <c r="B34" s="59"/>
      <c r="C34" s="33"/>
      <c r="D34" s="33"/>
      <c r="E34" s="33"/>
      <c r="F34" s="33"/>
      <c r="G34" s="33"/>
      <c r="H34" s="33"/>
      <c r="I34" s="33"/>
      <c r="J34" s="33"/>
      <c r="K34" s="33"/>
      <c r="M34" s="33"/>
      <c r="N34" s="33"/>
    </row>
    <row r="35" spans="2:14" x14ac:dyDescent="0.45">
      <c r="B35" s="61" t="s">
        <v>167</v>
      </c>
      <c r="C35" s="62">
        <f>IFERROR('3 Statement Model'!C72/'3 Statement Model'!C7,0)</f>
        <v>0.16837509491268032</v>
      </c>
      <c r="D35" s="62">
        <f>IFERROR('3 Statement Model'!D72/'3 Statement Model'!D7,0)</f>
        <v>0.18743087263548963</v>
      </c>
      <c r="E35" s="62">
        <f>IFERROR('3 Statement Model'!E72/'3 Statement Model'!E7,0)</f>
        <v>0.179510130027215</v>
      </c>
      <c r="F35" s="62">
        <f>IFERROR('3 Statement Model'!F72/'3 Statement Model'!F7,0)</f>
        <v>0.18727627187716844</v>
      </c>
      <c r="G35" s="62">
        <f>IFERROR('3 Statement Model'!G72/'3 Statement Model'!G7,0)</f>
        <v>0.23114897682936539</v>
      </c>
      <c r="H35" s="62">
        <f>IFERROR('3 Statement Model'!H72/'3 Statement Model'!H7,0)</f>
        <v>0.1963564916434426</v>
      </c>
      <c r="I35" s="62">
        <f>IFERROR('3 Statement Model'!I72/'3 Statement Model'!I7,0)</f>
        <v>0.15307937070322347</v>
      </c>
      <c r="J35" s="62">
        <f>IFERROR('3 Statement Model'!J72/'3 Statement Model'!J7,0)</f>
        <v>0.16405284050237523</v>
      </c>
      <c r="K35" s="62">
        <f>IFERROR('3 Statement Model'!K72/'3 Statement Model'!K7,0)</f>
        <v>0.21899503036996135</v>
      </c>
      <c r="L35" s="63"/>
      <c r="M35" s="62">
        <f>IFERROR(AVERAGE(C35:K35),0)</f>
        <v>0.18735834216676903</v>
      </c>
      <c r="N35" s="62">
        <f>IFERROR(MEDIAN(C35:K35),0)</f>
        <v>0.18727627187716844</v>
      </c>
    </row>
    <row r="36" spans="2:14" x14ac:dyDescent="0.45">
      <c r="B36" s="64" t="s">
        <v>168</v>
      </c>
      <c r="C36" s="66">
        <f>IFERROR('3 Statement Model'!C72/'3 Statement Model'!C57,0)</f>
        <v>0.13868042526579111</v>
      </c>
      <c r="D36" s="66">
        <f>IFERROR('3 Statement Model'!D72/'3 Statement Model'!D57,0)</f>
        <v>0.16658054921927182</v>
      </c>
      <c r="E36" s="66">
        <f>IFERROR('3 Statement Model'!E72/'3 Statement Model'!E57,0)</f>
        <v>0.17653986153736351</v>
      </c>
      <c r="F36" s="66">
        <f>IFERROR('3 Statement Model'!F72/'3 Statement Model'!F57,0)</f>
        <v>0.18521786492374728</v>
      </c>
      <c r="G36" s="66">
        <f>IFERROR('3 Statement Model'!G72/'3 Statement Model'!G57,0)</f>
        <v>0.21601510543107216</v>
      </c>
      <c r="H36" s="66">
        <f>IFERROR('3 Statement Model'!H72/'3 Statement Model'!H57,0)</f>
        <v>0.20461924628841163</v>
      </c>
      <c r="I36" s="66">
        <f>IFERROR('3 Statement Model'!I72/'3 Statement Model'!I57,0)</f>
        <v>0.18031879033034767</v>
      </c>
      <c r="J36" s="66">
        <f>IFERROR('3 Statement Model'!J72/'3 Statement Model'!J57,0)</f>
        <v>0.18353232382061735</v>
      </c>
      <c r="K36" s="66">
        <f>IFERROR('3 Statement Model'!K72/'3 Statement Model'!K57,0)</f>
        <v>0.24151019993910483</v>
      </c>
      <c r="L36" s="67"/>
      <c r="M36" s="66">
        <f>IFERROR(AVERAGE(C36:K36),0)</f>
        <v>0.18811270741730304</v>
      </c>
      <c r="N36" s="66">
        <f>IFERROR(MEDIAN(C36:K36),0)</f>
        <v>0.18353232382061735</v>
      </c>
    </row>
    <row r="37" spans="2:14" x14ac:dyDescent="0.45"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</row>
  </sheetData>
  <mergeCells count="1">
    <mergeCell ref="B2:N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F9934502-72ED-4AEE-9AA4-9B4D9BA1CFE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Analysis'!D5:K5</xm:f>
              <xm:sqref>L5</xm:sqref>
            </x14:sparkline>
            <x14:sparkline>
              <xm:f>'Ratio Analysis'!D6:K6</xm:f>
              <xm:sqref>L6</xm:sqref>
            </x14:sparkline>
            <x14:sparkline>
              <xm:f>'Ratio Analysis'!D7:K7</xm:f>
              <xm:sqref>L7</xm:sqref>
            </x14:sparkline>
            <x14:sparkline>
              <xm:f>'Ratio Analysis'!D8:K8</xm:f>
              <xm:sqref>L8</xm:sqref>
            </x14:sparkline>
            <x14:sparkline>
              <xm:f>'Ratio Analysis'!D9:K9</xm:f>
              <xm:sqref>L9</xm:sqref>
            </x14:sparkline>
          </x14:sparklines>
        </x14:sparklineGroup>
        <x14:sparklineGroup displayEmptyCellsAs="gap" markers="1" xr2:uid="{57EB8F35-1A65-42A8-8D0C-1463AA8825E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Analysis'!C11:K11</xm:f>
              <xm:sqref>L11</xm:sqref>
            </x14:sparkline>
            <x14:sparkline>
              <xm:f>'Ratio Analysis'!C12:K12</xm:f>
              <xm:sqref>L12</xm:sqref>
            </x14:sparkline>
            <x14:sparkline>
              <xm:f>'Ratio Analysis'!C13:K13</xm:f>
              <xm:sqref>L13</xm:sqref>
            </x14:sparkline>
            <x14:sparkline>
              <xm:f>'Ratio Analysis'!C14:K14</xm:f>
              <xm:sqref>L14</xm:sqref>
            </x14:sparkline>
          </x14:sparklines>
        </x14:sparklineGroup>
        <x14:sparklineGroup displayEmptyCellsAs="gap" markers="1" xr2:uid="{42D17AEE-09C6-48EB-BD9C-DE159BD571B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Analysis'!C16:K16</xm:f>
              <xm:sqref>L16</xm:sqref>
            </x14:sparkline>
            <x14:sparkline>
              <xm:f>'Ratio Analysis'!C17:K17</xm:f>
              <xm:sqref>L17</xm:sqref>
            </x14:sparkline>
            <x14:sparkline>
              <xm:f>'Ratio Analysis'!C18:K18</xm:f>
              <xm:sqref>L18</xm:sqref>
            </x14:sparkline>
          </x14:sparklines>
        </x14:sparklineGroup>
        <x14:sparklineGroup displayEmptyCellsAs="gap" markers="1" xr2:uid="{03648C9C-8F96-4E9E-A120-4FCB97EBFB9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Analysis'!C20:K20</xm:f>
              <xm:sqref>L20</xm:sqref>
            </x14:sparkline>
            <x14:sparkline>
              <xm:f>'Ratio Analysis'!C21:K21</xm:f>
              <xm:sqref>L21</xm:sqref>
            </x14:sparkline>
            <x14:sparkline>
              <xm:f>'Ratio Analysis'!C22:K22</xm:f>
              <xm:sqref>L22</xm:sqref>
            </x14:sparkline>
            <x14:sparkline>
              <xm:f>'Ratio Analysis'!C23:K23</xm:f>
              <xm:sqref>L23</xm:sqref>
            </x14:sparkline>
            <x14:sparkline>
              <xm:f>'Ratio Analysis'!C24:K24</xm:f>
              <xm:sqref>L24</xm:sqref>
            </x14:sparkline>
          </x14:sparklines>
        </x14:sparklineGroup>
        <x14:sparklineGroup displayEmptyCellsAs="gap" markers="1" xr2:uid="{8B5D40C2-377F-4696-8A05-49C4A0370449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Analysis'!C26:K26</xm:f>
              <xm:sqref>L26</xm:sqref>
            </x14:sparkline>
            <x14:sparkline>
              <xm:f>'Ratio Analysis'!C27:K27</xm:f>
              <xm:sqref>L27</xm:sqref>
            </x14:sparkline>
            <x14:sparkline>
              <xm:f>'Ratio Analysis'!C28:K28</xm:f>
              <xm:sqref>L28</xm:sqref>
            </x14:sparkline>
            <x14:sparkline>
              <xm:f>'Ratio Analysis'!C29:K29</xm:f>
              <xm:sqref>L29</xm:sqref>
            </x14:sparkline>
          </x14:sparklines>
        </x14:sparklineGroup>
        <x14:sparklineGroup displayEmptyCellsAs="gap" markers="1" xr2:uid="{1134BACD-A1C6-478C-84D8-610E4076024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Analysis'!C31:K31</xm:f>
              <xm:sqref>L31</xm:sqref>
            </x14:sparkline>
            <x14:sparkline>
              <xm:f>'Ratio Analysis'!C32:K32</xm:f>
              <xm:sqref>L32</xm:sqref>
            </x14:sparkline>
            <x14:sparkline>
              <xm:f>'Ratio Analysis'!C33:K33</xm:f>
              <xm:sqref>L33</xm:sqref>
            </x14:sparkline>
          </x14:sparklines>
        </x14:sparklineGroup>
        <x14:sparklineGroup displayEmptyCellsAs="gap" markers="1" xr2:uid="{4B72397B-5814-4E66-A789-F0EE275249D4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Analysis'!C35:K35</xm:f>
              <xm:sqref>L35</xm:sqref>
            </x14:sparkline>
            <x14:sparkline>
              <xm:f>'Ratio Analysis'!C36:K36</xm:f>
              <xm:sqref>L36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6EB6-FB00-491D-BFF9-6ED3F70950EC}">
  <sheetPr>
    <tabColor rgb="FF002060"/>
  </sheetPr>
  <dimension ref="B2:O17"/>
  <sheetViews>
    <sheetView showGridLines="0" zoomScale="116" workbookViewId="0">
      <selection activeCell="D10" sqref="D10"/>
    </sheetView>
  </sheetViews>
  <sheetFormatPr defaultRowHeight="14.25" x14ac:dyDescent="0.45"/>
  <cols>
    <col min="1" max="1" width="2.1328125" customWidth="1"/>
    <col min="2" max="2" width="10.6640625" bestFit="1" customWidth="1"/>
    <col min="3" max="3" width="9.9296875" customWidth="1"/>
    <col min="4" max="4" width="13.9296875" customWidth="1"/>
    <col min="5" max="5" width="11.06640625" bestFit="1" customWidth="1"/>
    <col min="7" max="7" width="10.73046875" bestFit="1" customWidth="1"/>
    <col min="9" max="9" width="10.1328125" bestFit="1" customWidth="1"/>
    <col min="10" max="10" width="13.3984375" bestFit="1" customWidth="1"/>
    <col min="12" max="12" width="10.73046875" bestFit="1" customWidth="1"/>
    <col min="14" max="14" width="10.1328125" bestFit="1" customWidth="1"/>
    <col min="15" max="15" width="15.33203125" bestFit="1" customWidth="1"/>
  </cols>
  <sheetData>
    <row r="2" spans="2:15" x14ac:dyDescent="0.45">
      <c r="B2" s="119" t="s">
        <v>171</v>
      </c>
      <c r="C2" s="119"/>
      <c r="D2" s="119"/>
      <c r="E2" s="119"/>
      <c r="G2" s="119" t="s">
        <v>173</v>
      </c>
      <c r="H2" s="119"/>
      <c r="I2" s="119"/>
      <c r="J2" s="119"/>
      <c r="L2" s="119" t="s">
        <v>174</v>
      </c>
      <c r="M2" s="119"/>
      <c r="N2" s="119"/>
      <c r="O2" s="119"/>
    </row>
    <row r="3" spans="2:15" x14ac:dyDescent="0.45">
      <c r="B3" s="69" t="s">
        <v>172</v>
      </c>
      <c r="C3" s="77" t="s">
        <v>81</v>
      </c>
      <c r="D3" s="77" t="s">
        <v>6</v>
      </c>
      <c r="E3" s="77" t="s">
        <v>22</v>
      </c>
      <c r="F3" s="68"/>
      <c r="G3" s="69" t="s">
        <v>172</v>
      </c>
      <c r="H3" s="77" t="s">
        <v>81</v>
      </c>
      <c r="I3" s="77" t="s">
        <v>91</v>
      </c>
      <c r="J3" s="77" t="s">
        <v>145</v>
      </c>
      <c r="L3" s="69" t="s">
        <v>172</v>
      </c>
      <c r="M3" s="77" t="s">
        <v>81</v>
      </c>
      <c r="N3" s="77" t="s">
        <v>96</v>
      </c>
      <c r="O3" s="77" t="s">
        <v>147</v>
      </c>
    </row>
    <row r="4" spans="2:15" x14ac:dyDescent="0.45">
      <c r="B4" s="33">
        <v>1</v>
      </c>
      <c r="C4" s="73">
        <v>2017</v>
      </c>
      <c r="D4" s="31" cm="1">
        <f t="array" ref="D4:D12">TRANSPOSE('3 Statement Model'!C7:K7)</f>
        <v>68484</v>
      </c>
      <c r="E4" s="33" t="s">
        <v>101</v>
      </c>
      <c r="G4" s="72">
        <v>1</v>
      </c>
      <c r="H4" s="70">
        <v>2017</v>
      </c>
      <c r="I4" s="78" cm="1">
        <f t="array" ref="I4:I12">TRANSPOSE('3 Statement Model'!C19:K19)</f>
        <v>18604</v>
      </c>
      <c r="J4" s="72" t="s">
        <v>101</v>
      </c>
      <c r="L4" s="72">
        <v>1</v>
      </c>
      <c r="M4" s="70">
        <v>2017</v>
      </c>
      <c r="N4" s="78" cm="1">
        <f t="array" ref="N4:N12">TRANSPOSE('3 Statement Model'!C33:K33)</f>
        <v>14353</v>
      </c>
      <c r="O4" s="72" t="s">
        <v>101</v>
      </c>
    </row>
    <row r="5" spans="2:15" x14ac:dyDescent="0.45">
      <c r="B5" s="33">
        <v>2</v>
      </c>
      <c r="C5" s="73">
        <v>2018</v>
      </c>
      <c r="D5" s="31">
        <v>70522</v>
      </c>
      <c r="E5" s="37">
        <f>D5/D4-1</f>
        <v>2.9758775772443125E-2</v>
      </c>
      <c r="G5" s="72">
        <v>2</v>
      </c>
      <c r="H5" s="70">
        <v>2018</v>
      </c>
      <c r="I5" s="78">
        <v>18822</v>
      </c>
      <c r="J5" s="71">
        <f>I5/I4-1</f>
        <v>1.1717910126854525E-2</v>
      </c>
      <c r="L5" s="72">
        <v>2</v>
      </c>
      <c r="M5" s="70">
        <v>2018</v>
      </c>
      <c r="N5" s="78">
        <v>16029</v>
      </c>
      <c r="O5" s="71">
        <f>N5/N4-1</f>
        <v>0.11677001323765057</v>
      </c>
    </row>
    <row r="6" spans="2:15" x14ac:dyDescent="0.45">
      <c r="B6" s="33">
        <v>3</v>
      </c>
      <c r="C6" s="73">
        <v>2019</v>
      </c>
      <c r="D6" s="31">
        <v>82675</v>
      </c>
      <c r="E6" s="37">
        <f t="shared" ref="E6:E12" si="0">D6/D5-1</f>
        <v>0.17232920223476356</v>
      </c>
      <c r="G6" s="72">
        <v>3</v>
      </c>
      <c r="H6" s="70">
        <v>2019</v>
      </c>
      <c r="I6" s="78">
        <v>20170</v>
      </c>
      <c r="J6" s="71">
        <f t="shared" ref="J6:J12" si="1">I6/I5-1</f>
        <v>7.1618318988417862E-2</v>
      </c>
      <c r="L6" s="72">
        <v>3</v>
      </c>
      <c r="M6" s="70">
        <v>2019</v>
      </c>
      <c r="N6" s="78">
        <v>15410</v>
      </c>
      <c r="O6" s="71">
        <f t="shared" ref="O6:O11" si="2">N6/N5-1</f>
        <v>-3.8617505770790483E-2</v>
      </c>
    </row>
    <row r="7" spans="2:15" x14ac:dyDescent="0.45">
      <c r="B7" s="33">
        <v>4</v>
      </c>
      <c r="C7" s="73">
        <v>2020</v>
      </c>
      <c r="D7" s="31">
        <v>90791</v>
      </c>
      <c r="E7" s="37">
        <f t="shared" si="0"/>
        <v>9.8167523435137571E-2</v>
      </c>
      <c r="G7" s="72">
        <v>4</v>
      </c>
      <c r="H7" s="70">
        <v>2020</v>
      </c>
      <c r="I7" s="78">
        <v>22267</v>
      </c>
      <c r="J7" s="71">
        <f t="shared" si="1"/>
        <v>0.10396628656420437</v>
      </c>
      <c r="L7" s="72">
        <v>4</v>
      </c>
      <c r="M7" s="70">
        <v>2020</v>
      </c>
      <c r="N7" s="78">
        <v>16639</v>
      </c>
      <c r="O7" s="71">
        <f t="shared" si="2"/>
        <v>7.975340687865029E-2</v>
      </c>
    </row>
    <row r="8" spans="2:15" x14ac:dyDescent="0.45">
      <c r="B8" s="33">
        <v>5</v>
      </c>
      <c r="C8" s="73">
        <v>2021</v>
      </c>
      <c r="D8" s="31">
        <v>100472</v>
      </c>
      <c r="E8" s="37">
        <f t="shared" si="0"/>
        <v>0.10662951173574475</v>
      </c>
      <c r="G8" s="72">
        <v>5</v>
      </c>
      <c r="H8" s="70">
        <v>2021</v>
      </c>
      <c r="I8" s="78">
        <v>27889</v>
      </c>
      <c r="J8" s="71">
        <f t="shared" si="1"/>
        <v>0.25248125028068436</v>
      </c>
      <c r="L8" s="72">
        <v>5</v>
      </c>
      <c r="M8" s="70">
        <v>2021</v>
      </c>
      <c r="N8" s="78">
        <v>19423</v>
      </c>
      <c r="O8" s="71">
        <f t="shared" si="2"/>
        <v>0.16731774746078498</v>
      </c>
    </row>
    <row r="9" spans="2:15" x14ac:dyDescent="0.45">
      <c r="B9" s="33">
        <v>6</v>
      </c>
      <c r="C9" s="73">
        <v>2022</v>
      </c>
      <c r="D9" s="31">
        <v>121641</v>
      </c>
      <c r="E9" s="37">
        <f t="shared" si="0"/>
        <v>0.21069551715900947</v>
      </c>
      <c r="G9" s="72">
        <v>6</v>
      </c>
      <c r="H9" s="70">
        <v>2022</v>
      </c>
      <c r="I9" s="78">
        <v>31491</v>
      </c>
      <c r="J9" s="71">
        <f t="shared" si="1"/>
        <v>0.12915486392484499</v>
      </c>
      <c r="L9" s="72">
        <v>6</v>
      </c>
      <c r="M9" s="70">
        <v>2022</v>
      </c>
      <c r="N9" s="78">
        <v>22146</v>
      </c>
      <c r="O9" s="71">
        <f t="shared" si="2"/>
        <v>0.14019461463213712</v>
      </c>
    </row>
    <row r="10" spans="2:15" x14ac:dyDescent="0.45">
      <c r="B10" s="33">
        <v>7</v>
      </c>
      <c r="C10" s="73">
        <v>2023</v>
      </c>
      <c r="D10" s="31">
        <v>146767</v>
      </c>
      <c r="E10" s="37">
        <f t="shared" si="0"/>
        <v>0.20655864387829759</v>
      </c>
      <c r="G10" s="72">
        <v>7</v>
      </c>
      <c r="H10" s="70">
        <v>2023</v>
      </c>
      <c r="I10" s="78">
        <v>35130</v>
      </c>
      <c r="J10" s="71">
        <f t="shared" si="1"/>
        <v>0.1155568257597408</v>
      </c>
      <c r="L10" s="72">
        <v>7</v>
      </c>
      <c r="M10" s="70">
        <v>2023</v>
      </c>
      <c r="N10" s="78">
        <v>24108</v>
      </c>
      <c r="O10" s="71">
        <f t="shared" si="2"/>
        <v>8.8593876998103394E-2</v>
      </c>
    </row>
    <row r="11" spans="2:15" x14ac:dyDescent="0.45">
      <c r="B11" s="33">
        <v>8</v>
      </c>
      <c r="C11" s="73">
        <v>2024</v>
      </c>
      <c r="D11" s="31">
        <v>153670</v>
      </c>
      <c r="E11" s="37">
        <f t="shared" si="0"/>
        <v>4.7033733741236095E-2</v>
      </c>
      <c r="G11" s="72">
        <v>8</v>
      </c>
      <c r="H11" s="70">
        <v>2024</v>
      </c>
      <c r="I11" s="78">
        <v>36425</v>
      </c>
      <c r="J11" s="71">
        <f t="shared" si="1"/>
        <v>3.6863079988613823E-2</v>
      </c>
      <c r="L11" s="72">
        <v>8</v>
      </c>
      <c r="M11" s="70">
        <v>2024</v>
      </c>
      <c r="N11" s="78">
        <v>26248</v>
      </c>
      <c r="O11" s="71">
        <f t="shared" si="2"/>
        <v>8.8767214202754241E-2</v>
      </c>
    </row>
    <row r="12" spans="2:15" x14ac:dyDescent="0.45">
      <c r="B12" s="60">
        <v>9</v>
      </c>
      <c r="C12" s="83">
        <v>2025</v>
      </c>
      <c r="D12" s="84">
        <v>162990</v>
      </c>
      <c r="E12" s="85">
        <f t="shared" si="0"/>
        <v>6.0649443612936782E-2</v>
      </c>
      <c r="G12" s="86">
        <v>9</v>
      </c>
      <c r="H12" s="87">
        <v>2025</v>
      </c>
      <c r="I12" s="88">
        <v>39236</v>
      </c>
      <c r="J12" s="89">
        <f t="shared" si="1"/>
        <v>7.7172271791352109E-2</v>
      </c>
      <c r="L12" s="86">
        <v>9</v>
      </c>
      <c r="M12" s="87">
        <v>2025</v>
      </c>
      <c r="N12" s="88">
        <v>26750</v>
      </c>
      <c r="O12" s="89">
        <f>N12/N11-1</f>
        <v>1.9125266686985665E-2</v>
      </c>
    </row>
    <row r="13" spans="2:15" x14ac:dyDescent="0.45">
      <c r="B13" s="76">
        <v>10</v>
      </c>
      <c r="C13" s="90">
        <v>2026</v>
      </c>
      <c r="D13" s="74">
        <f>FORECAST(B13,_xlfn.ANCHORARRAY($D$4),$B$4:$B$12)</f>
        <v>176432.05555555556</v>
      </c>
      <c r="E13" s="75">
        <f>D13/D12-1</f>
        <v>8.2471658111267887E-2</v>
      </c>
      <c r="G13" s="79">
        <v>10</v>
      </c>
      <c r="H13" s="82">
        <v>2026</v>
      </c>
      <c r="I13" s="80">
        <f>FORECAST(G13,_xlfn.ANCHORARRAY($I$4),$G$4:$G$12)</f>
        <v>42321.638888888891</v>
      </c>
      <c r="J13" s="81">
        <f>I13/I12-1</f>
        <v>7.8643054564402348E-2</v>
      </c>
      <c r="L13" s="79">
        <v>10</v>
      </c>
      <c r="M13" s="82">
        <v>2026</v>
      </c>
      <c r="N13" s="80">
        <f>FORECAST(L13,_xlfn.ANCHORARRAY($N$4),$L$4:$L$12)</f>
        <v>28718.555555555558</v>
      </c>
      <c r="O13" s="81">
        <f>N13/N12-1</f>
        <v>7.3590861889927472E-2</v>
      </c>
    </row>
    <row r="14" spans="2:15" x14ac:dyDescent="0.45">
      <c r="B14" s="76">
        <v>11</v>
      </c>
      <c r="C14" s="90">
        <v>2027</v>
      </c>
      <c r="D14" s="74">
        <f t="shared" ref="D14:D16" si="3">FORECAST(B14,_xlfn.ANCHORARRAY($D$4),$B$4:$B$12)</f>
        <v>189540.4222222222</v>
      </c>
      <c r="E14" s="75">
        <f t="shared" ref="E14:E16" si="4">D14/D13-1</f>
        <v>7.4296967324846586E-2</v>
      </c>
      <c r="G14" s="79">
        <v>11</v>
      </c>
      <c r="H14" s="82">
        <v>2027</v>
      </c>
      <c r="I14" s="80">
        <f t="shared" ref="I14:I16" si="5">FORECAST(G14,_xlfn.ANCHORARRAY($I$4),$G$4:$G$12)</f>
        <v>45229.655555555553</v>
      </c>
      <c r="J14" s="81">
        <f t="shared" ref="J14:J16" si="6">I14/I13-1</f>
        <v>6.8712288630914387E-2</v>
      </c>
      <c r="L14" s="79">
        <v>11</v>
      </c>
      <c r="M14" s="82">
        <v>2027</v>
      </c>
      <c r="N14" s="80">
        <f t="shared" ref="N14:N16" si="7">FORECAST(L14,_xlfn.ANCHORARRAY($N$4),$L$4:$L$12)</f>
        <v>30437.68888888889</v>
      </c>
      <c r="O14" s="81">
        <f t="shared" ref="O14:O16" si="8">N14/N13-1</f>
        <v>5.986141364274733E-2</v>
      </c>
    </row>
    <row r="15" spans="2:15" x14ac:dyDescent="0.45">
      <c r="B15" s="76">
        <v>12</v>
      </c>
      <c r="C15" s="90">
        <v>2028</v>
      </c>
      <c r="D15" s="74">
        <f t="shared" si="3"/>
        <v>202648.78888888884</v>
      </c>
      <c r="E15" s="75">
        <f t="shared" si="4"/>
        <v>6.9158686643095324E-2</v>
      </c>
      <c r="G15" s="79">
        <v>12</v>
      </c>
      <c r="H15" s="82">
        <v>2028</v>
      </c>
      <c r="I15" s="80">
        <f t="shared" si="5"/>
        <v>48137.672222222223</v>
      </c>
      <c r="J15" s="81">
        <f t="shared" si="6"/>
        <v>6.4294468550501138E-2</v>
      </c>
      <c r="L15" s="79">
        <v>12</v>
      </c>
      <c r="M15" s="82">
        <v>2028</v>
      </c>
      <c r="N15" s="80">
        <f t="shared" si="7"/>
        <v>32156.822222222225</v>
      </c>
      <c r="O15" s="81">
        <f t="shared" si="8"/>
        <v>5.648041609233001E-2</v>
      </c>
    </row>
    <row r="16" spans="2:15" x14ac:dyDescent="0.45">
      <c r="B16" s="76">
        <v>13</v>
      </c>
      <c r="C16" s="90">
        <v>2029</v>
      </c>
      <c r="D16" s="74">
        <f t="shared" si="3"/>
        <v>215757.15555555554</v>
      </c>
      <c r="E16" s="75">
        <f t="shared" si="4"/>
        <v>6.4685146842174968E-2</v>
      </c>
      <c r="G16" s="79">
        <v>13</v>
      </c>
      <c r="H16" s="82">
        <v>2029</v>
      </c>
      <c r="I16" s="80">
        <f t="shared" si="5"/>
        <v>51045.688888888886</v>
      </c>
      <c r="J16" s="81">
        <f t="shared" si="6"/>
        <v>6.0410413142582442E-2</v>
      </c>
      <c r="L16" s="79">
        <v>13</v>
      </c>
      <c r="M16" s="82">
        <v>2029</v>
      </c>
      <c r="N16" s="80">
        <f t="shared" si="7"/>
        <v>33875.955555555556</v>
      </c>
      <c r="O16" s="81">
        <f t="shared" si="8"/>
        <v>5.3460921027989938E-2</v>
      </c>
    </row>
    <row r="17" spans="3:5" x14ac:dyDescent="0.45">
      <c r="C17" s="33"/>
      <c r="D17" s="33"/>
      <c r="E17" s="33"/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76BD0-A838-44E6-9416-B74B1ED47E05}">
  <sheetPr>
    <tabColor theme="8" tint="0.39997558519241921"/>
  </sheetPr>
  <dimension ref="A2:P60"/>
  <sheetViews>
    <sheetView showGridLines="0" tabSelected="1" zoomScale="77" zoomScaleNormal="54" workbookViewId="0">
      <selection activeCell="D42" sqref="D42"/>
    </sheetView>
  </sheetViews>
  <sheetFormatPr defaultRowHeight="14.25" x14ac:dyDescent="0.45"/>
  <cols>
    <col min="1" max="3" width="9.06640625" style="104"/>
    <col min="4" max="4" width="17.53125" style="104" customWidth="1"/>
    <col min="5" max="8" width="9.06640625" style="104"/>
    <col min="9" max="9" width="11.19921875" style="104" customWidth="1"/>
    <col min="10" max="15" width="9.06640625" style="104"/>
    <col min="16" max="16" width="31" style="104" bestFit="1" customWidth="1"/>
    <col min="17" max="16384" width="9.06640625" style="104"/>
  </cols>
  <sheetData>
    <row r="2" spans="1:16" ht="36" x14ac:dyDescent="1.05">
      <c r="F2" s="101" t="s">
        <v>175</v>
      </c>
      <c r="G2" s="101"/>
      <c r="H2" s="101"/>
      <c r="I2" s="101"/>
      <c r="J2" s="102"/>
      <c r="K2" s="102"/>
      <c r="L2" s="102"/>
      <c r="M2" s="103"/>
      <c r="N2" s="103"/>
      <c r="O2" s="103"/>
    </row>
    <row r="3" spans="1:16" ht="21" x14ac:dyDescent="0.65">
      <c r="E3" s="107" t="s">
        <v>176</v>
      </c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</row>
    <row r="4" spans="1:16" ht="23.65" thickBot="1" x14ac:dyDescent="0.5">
      <c r="B4" s="120" t="s">
        <v>177</v>
      </c>
      <c r="C4" s="120"/>
    </row>
    <row r="5" spans="1:16" x14ac:dyDescent="0.45">
      <c r="B5" s="105"/>
    </row>
    <row r="6" spans="1:16" x14ac:dyDescent="0.45">
      <c r="A6" s="106" t="s">
        <v>208</v>
      </c>
      <c r="B6" s="105" t="s">
        <v>178</v>
      </c>
      <c r="E6" s="106" t="s">
        <v>209</v>
      </c>
      <c r="F6" s="105" t="s">
        <v>179</v>
      </c>
    </row>
    <row r="9" spans="1:16" ht="21.4" thickBot="1" x14ac:dyDescent="0.5">
      <c r="B9" s="109"/>
      <c r="C9" s="110" t="s">
        <v>180</v>
      </c>
      <c r="D9" s="108"/>
    </row>
    <row r="10" spans="1:16" x14ac:dyDescent="0.45">
      <c r="B10" s="105"/>
    </row>
    <row r="11" spans="1:16" x14ac:dyDescent="0.45">
      <c r="A11" s="106" t="s">
        <v>208</v>
      </c>
      <c r="B11" s="105" t="s">
        <v>181</v>
      </c>
      <c r="E11" s="106" t="s">
        <v>209</v>
      </c>
      <c r="F11" s="105" t="s">
        <v>182</v>
      </c>
      <c r="J11" s="106" t="s">
        <v>210</v>
      </c>
      <c r="K11" s="105" t="s">
        <v>183</v>
      </c>
    </row>
    <row r="14" spans="1:16" ht="21.4" thickBot="1" x14ac:dyDescent="0.7">
      <c r="B14" s="111" t="s">
        <v>184</v>
      </c>
      <c r="C14" s="112"/>
    </row>
    <row r="16" spans="1:16" x14ac:dyDescent="0.45">
      <c r="A16" s="106" t="s">
        <v>208</v>
      </c>
      <c r="B16" s="105" t="s">
        <v>185</v>
      </c>
      <c r="E16" s="106" t="s">
        <v>209</v>
      </c>
      <c r="F16" s="105" t="s">
        <v>186</v>
      </c>
      <c r="K16" s="106" t="s">
        <v>210</v>
      </c>
      <c r="L16" s="104" t="s">
        <v>212</v>
      </c>
    </row>
    <row r="19" spans="1:16" ht="21.4" thickBot="1" x14ac:dyDescent="0.7">
      <c r="B19" s="111" t="s">
        <v>187</v>
      </c>
      <c r="C19" s="112"/>
      <c r="D19" s="113"/>
    </row>
    <row r="20" spans="1:16" x14ac:dyDescent="0.45">
      <c r="B20" s="105"/>
    </row>
    <row r="21" spans="1:16" x14ac:dyDescent="0.45">
      <c r="A21" s="106" t="s">
        <v>208</v>
      </c>
      <c r="B21" s="105" t="s">
        <v>188</v>
      </c>
      <c r="E21" s="106" t="s">
        <v>209</v>
      </c>
      <c r="F21" s="105" t="s">
        <v>189</v>
      </c>
      <c r="J21" s="106" t="s">
        <v>210</v>
      </c>
      <c r="K21" s="105" t="s">
        <v>190</v>
      </c>
      <c r="O21" s="106" t="s">
        <v>211</v>
      </c>
      <c r="P21" s="106" t="s">
        <v>213</v>
      </c>
    </row>
    <row r="24" spans="1:16" ht="23.65" thickBot="1" x14ac:dyDescent="0.75">
      <c r="B24" s="114" t="s">
        <v>191</v>
      </c>
      <c r="C24" s="115"/>
    </row>
    <row r="26" spans="1:16" x14ac:dyDescent="0.45">
      <c r="A26" s="106" t="s">
        <v>208</v>
      </c>
      <c r="B26" s="105" t="s">
        <v>192</v>
      </c>
      <c r="E26" s="106" t="s">
        <v>209</v>
      </c>
      <c r="F26" s="105" t="s">
        <v>193</v>
      </c>
      <c r="J26" s="106" t="s">
        <v>210</v>
      </c>
      <c r="K26" s="105" t="s">
        <v>194</v>
      </c>
      <c r="O26" s="106" t="s">
        <v>211</v>
      </c>
      <c r="P26" s="104" t="s">
        <v>214</v>
      </c>
    </row>
    <row r="27" spans="1:16" x14ac:dyDescent="0.45">
      <c r="B27" s="105"/>
    </row>
    <row r="29" spans="1:16" ht="21.4" thickBot="1" x14ac:dyDescent="0.7">
      <c r="B29" s="111" t="s">
        <v>195</v>
      </c>
      <c r="C29" s="112"/>
    </row>
    <row r="31" spans="1:16" x14ac:dyDescent="0.45">
      <c r="A31" s="106" t="s">
        <v>208</v>
      </c>
      <c r="B31" s="105" t="s">
        <v>196</v>
      </c>
      <c r="E31" s="106" t="s">
        <v>209</v>
      </c>
      <c r="F31" s="105" t="s">
        <v>197</v>
      </c>
      <c r="J31" s="106" t="s">
        <v>210</v>
      </c>
      <c r="K31" s="105" t="s">
        <v>198</v>
      </c>
      <c r="O31" s="106" t="s">
        <v>211</v>
      </c>
      <c r="P31" s="105" t="s">
        <v>199</v>
      </c>
    </row>
    <row r="34" spans="1:11" ht="23.65" thickBot="1" x14ac:dyDescent="0.75">
      <c r="B34" s="114" t="s">
        <v>200</v>
      </c>
      <c r="C34" s="115"/>
    </row>
    <row r="35" spans="1:11" x14ac:dyDescent="0.45">
      <c r="B35" s="105"/>
    </row>
    <row r="36" spans="1:11" x14ac:dyDescent="0.45">
      <c r="A36" s="106" t="s">
        <v>208</v>
      </c>
      <c r="B36" s="105" t="s">
        <v>201</v>
      </c>
      <c r="E36" s="106" t="s">
        <v>209</v>
      </c>
      <c r="F36" s="105" t="s">
        <v>202</v>
      </c>
      <c r="J36" s="106" t="s">
        <v>210</v>
      </c>
      <c r="K36" s="105" t="s">
        <v>203</v>
      </c>
    </row>
    <row r="40" spans="1:11" ht="21.4" thickBot="1" x14ac:dyDescent="0.7">
      <c r="B40" s="111" t="s">
        <v>204</v>
      </c>
      <c r="C40" s="112"/>
    </row>
    <row r="42" spans="1:11" x14ac:dyDescent="0.45">
      <c r="A42" s="106" t="s">
        <v>208</v>
      </c>
      <c r="B42" s="105" t="s">
        <v>205</v>
      </c>
      <c r="E42" s="106" t="s">
        <v>209</v>
      </c>
      <c r="F42" s="105" t="s">
        <v>206</v>
      </c>
      <c r="J42" s="106" t="s">
        <v>210</v>
      </c>
      <c r="K42" s="105" t="s">
        <v>207</v>
      </c>
    </row>
    <row r="43" spans="1:11" x14ac:dyDescent="0.45">
      <c r="B43" s="105"/>
    </row>
    <row r="52" spans="2:2" x14ac:dyDescent="0.45">
      <c r="B52" s="105"/>
    </row>
    <row r="60" spans="2:2" x14ac:dyDescent="0.45">
      <c r="B60" s="105"/>
    </row>
  </sheetData>
  <mergeCells count="1"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Profit &amp; Loss (Input)</vt:lpstr>
      <vt:lpstr>Quarters (Input)</vt:lpstr>
      <vt:lpstr>Cash Flow (Input)</vt:lpstr>
      <vt:lpstr>Data (Input)</vt:lpstr>
      <vt:lpstr>Balance Sheet (Input)</vt:lpstr>
      <vt:lpstr>Cash flow data (Input)</vt:lpstr>
      <vt:lpstr>3 Statement Model</vt:lpstr>
      <vt:lpstr>Ratio Analysis</vt:lpstr>
      <vt:lpstr>Forecasting</vt:lpstr>
      <vt:lpstr>Insight Summary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DHRUV JAIN</cp:lastModifiedBy>
  <cp:lastPrinted>2012-12-06T18:14:13Z</cp:lastPrinted>
  <dcterms:created xsi:type="dcterms:W3CDTF">2012-08-17T09:55:37Z</dcterms:created>
  <dcterms:modified xsi:type="dcterms:W3CDTF">2026-05-12T13:52:57Z</dcterms:modified>
</cp:coreProperties>
</file>